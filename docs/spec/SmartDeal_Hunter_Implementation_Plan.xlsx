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2"/>
    <sheet name="Executive Summary" sheetId="2" state="visible" r:id="rId3"/>
    <sheet name="Phase 1 - Core MVP" sheetId="3" state="visible" r:id="rId4"/>
    <sheet name="Phase 2 - Extended MVP" sheetId="4" state="visible" r:id="rId5"/>
    <sheet name="Tech Stack &amp; Architecture" sheetId="5" state="visible" r:id="rId6"/>
    <sheet name="Compliance Matrix" sheetId="6" state="visible" r:id="rId7"/>
    <sheet name="Risk Register" sheetId="7" state="visible" r:id="rId8"/>
    <sheet name="Sources &amp; References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<sst xmlns="http://schemas.openxmlformats.org/spreadsheetml/2006/main" count="835" uniqueCount="626">
  <si>
    <t xml:space="preserve">SmartDeal Hunter — Implementation Plan</t>
  </si>
  <si>
    <t xml:space="preserve">Privacy-First Chrome Extension MVP | Research-Backed Technical Roadmap</t>
  </si>
  <si>
    <t xml:space="preserve">KEY METRICS &amp; DECISIONS</t>
  </si>
  <si>
    <t xml:space="preserve">Metric</t>
  </si>
  <si>
    <t xml:space="preserve">Value / Decision</t>
  </si>
  <si>
    <t xml:space="preserve">Research Basis</t>
  </si>
  <si>
    <t xml:space="preserve">Framework</t>
  </si>
  <si>
    <t xml:space="preserve">WXT (Vite-based)</t>
  </si>
  <si>
    <t xml:space="preserve">Community migration from Plasmo; active maintenance; 300KB smaller bundles</t>
  </si>
  <si>
    <t xml:space="preserve">Build Tool</t>
  </si>
  <si>
    <t xml:space="preserve">Vite + WXT</t>
  </si>
  <si>
    <t xml:space="preserve">HMR works reliably; Parcel (Plasmo) outdated with upstream bugs</t>
  </si>
  <si>
    <t xml:space="preserve">Extension Platform</t>
  </si>
  <si>
    <t xml:space="preserve">Manifest V3</t>
  </si>
  <si>
    <t xml:space="preserve">Mandatory for Chrome Web Store; service worker lifecycle requires storage API patterns</t>
  </si>
  <si>
    <t xml:space="preserve">ML Runtime</t>
  </si>
  <si>
    <t xml:space="preserve">Offscreen Document + ONNX/WebNN</t>
  </si>
  <si>
    <t xml:space="preserve">Service workers cannot access WebGPU/WASM directly; offscreen doc required</t>
  </si>
  <si>
    <t xml:space="preserve">Local Encryption</t>
  </si>
  <si>
    <t xml:space="preserve">AES-GCM-256 + PBKDF2 (Web Crypto)</t>
  </si>
  <si>
    <t xml:space="preserve">Standard for password-manager-grade client-side encryption without backend</t>
  </si>
  <si>
    <t xml:space="preserve">Scraping Strategy</t>
  </si>
  <si>
    <t xml:space="preserve">JSON-LD (Schema.org) fallback to DOM selectors</t>
  </si>
  <si>
    <t xml:space="preserve">10x faster than DOM parsing; Amazon URLs (ASIN patterns) are structurally stable</t>
  </si>
  <si>
    <t xml:space="preserve">Bundle Target</t>
  </si>
  <si>
    <t xml:space="preserve">&lt; 2.5 MB</t>
  </si>
  <si>
    <t xml:space="preserve">Tree-shaking + code splitting required; React 19 concurrent mode reduces content script latency by ~68ms</t>
  </si>
  <si>
    <t xml:space="preserve">Compliance Standard</t>
  </si>
  <si>
    <t xml:space="preserve">Chrome Web Store Limited Use + FTC Disclosure</t>
  </si>
  <si>
    <t xml:space="preserve">User data policy prohibits silent tracking; affiliate links require conspicuous disclosure</t>
  </si>
  <si>
    <t xml:space="preserve">Rec Algorithm</t>
  </si>
  <si>
    <t xml:space="preserve">Local Multi-Armed Bandit + Genome Profile</t>
  </si>
  <si>
    <t xml:space="preserve">Balances exploration/exploitation on-device; no server required (c.f. FedRec surveys)</t>
  </si>
  <si>
    <t xml:space="preserve">SHEET INDEX</t>
  </si>
  <si>
    <t xml:space="preserve">Sheet Name</t>
  </si>
  <si>
    <t xml:space="preserve">Description</t>
  </si>
  <si>
    <t xml:space="preserve">Executive Summary</t>
  </si>
  <si>
    <t xml:space="preserve">Strategic objectives, scope boundaries, and research-backed architectural decisions</t>
  </si>
  <si>
    <t xml:space="preserve">Phase 1 - Core MVP</t>
  </si>
  <si>
    <t xml:space="preserve">8-week roadmap for Genome Engine, True Value Scout, Popup UI, and local encryption</t>
  </si>
  <si>
    <t xml:space="preserve">Phase 2 - Extended MVP</t>
  </si>
  <si>
    <t xml:space="preserve">6-week roadmap for Bundle Optimizer, caching, Options Page, and Creators API integration</t>
  </si>
  <si>
    <t xml:space="preserve">Tech Stack &amp; Architecture</t>
  </si>
  <si>
    <t xml:space="preserve">Comparative framework analysis, storage encryption design, and ML runtime architecture</t>
  </si>
  <si>
    <t xml:space="preserve">Compliance Matrix</t>
  </si>
  <si>
    <t xml:space="preserve">Chrome Web Store policies, Amazon/FTC compliance rules, and privacy control implementations</t>
  </si>
  <si>
    <t xml:space="preserve">Risk Register</t>
  </si>
  <si>
    <t xml:space="preserve">Technical, legal, and market risks with probability, impact scores, and mitigation strategies</t>
  </si>
  <si>
    <t xml:space="preserve">Sources &amp; References</t>
  </si>
  <si>
    <t xml:space="preserve">Academic papers, official documentation, and technical references cited across the plan</t>
  </si>
  <si>
    <t xml:space="preserve">NOTES</t>
  </si>
  <si>
    <t xml:space="preserve">All timeline estimates assume 1 full-time developer (senior-level) working 40 hrs/week.</t>
  </si>
  <si>
    <t xml:space="preserve">Research citations use numeric references linked to the Sources sheet.</t>
  </si>
  <si>
    <t xml:space="preserve">Privacy-first constraint: zero remote data persistence; all computation on device.</t>
  </si>
  <si>
    <t xml:space="preserve">STRATEGIC OBJECTIVES</t>
  </si>
  <si>
    <t xml:space="preserve">Objective</t>
  </si>
  <si>
    <t xml:space="preserve">Success Criteria</t>
  </si>
  <si>
    <t xml:space="preserve">Measurement</t>
  </si>
  <si>
    <t xml:space="preserve">Priority</t>
  </si>
  <si>
    <t xml:space="preserve">Phase</t>
  </si>
  <si>
    <t xml:space="preserve">Production-Ready MV3 Extension</t>
  </si>
  <si>
    <t xml:space="preserve">Passes Chrome Web Store review on first submission</t>
  </si>
  <si>
    <t xml:space="preserve">Review turnaround ≤ 5 days</t>
  </si>
  <si>
    <t xml:space="preserve">High</t>
  </si>
  <si>
    <t xml:space="preserve">Phase 1</t>
  </si>
  <si>
    <t xml:space="preserve">Privacy-First Local Computing</t>
  </si>
  <si>
    <t xml:space="preserve">Zero remote data transmission; AES-GCM encrypted storage</t>
  </si>
  <si>
    <t xml:space="preserve">Penetration test: no plaintext leakage</t>
  </si>
  <si>
    <t xml:space="preserve">True Value Scoring Engine</t>
  </si>
  <si>
    <t xml:space="preserve">Score computation &lt; 500ms on average product page</t>
  </si>
  <si>
    <t xml:space="preserve">Latency benchmark on 50 products</t>
  </si>
  <si>
    <t xml:space="preserve">Personal Fit Genome</t>
  </si>
  <si>
    <t xml:space="preserve">Onboarding quiz → preference vector with ≥ 8 dimensions</t>
  </si>
  <si>
    <t xml:space="preserve">Quiz completion rate ≥ 70%</t>
  </si>
  <si>
    <t xml:space="preserve">Amazon/Chrome Policy Compliance</t>
  </si>
  <si>
    <t xml:space="preserve">No affiliate injection; no silent tracking; explicit consent</t>
  </si>
  <si>
    <t xml:space="preserve">Policy audit checklist 100%</t>
  </si>
  <si>
    <t xml:space="preserve">Critical</t>
  </si>
  <si>
    <t xml:space="preserve">Ethical Bundle Optimizer</t>
  </si>
  <si>
    <t xml:space="preserve">Local-only bundle suggestions with rationales</t>
  </si>
  <si>
    <t xml:space="preserve">Bundle acceptance rate ≥ 15%</t>
  </si>
  <si>
    <t xml:space="preserve">Medium</t>
  </si>
  <si>
    <t xml:space="preserve">Phase 2</t>
  </si>
  <si>
    <t xml:space="preserve">Amazon Creators API Integration</t>
  </si>
  <si>
    <t xml:space="preserve">OAuth Deep Check with scoped permissions only</t>
  </si>
  <si>
    <t xml:space="preserve">API approval for PA-API access</t>
  </si>
  <si>
    <t xml:space="preserve">Extensible Foundation</t>
  </si>
  <si>
    <t xml:space="preserve">Modular architecture supports new marketplaces in &lt; 2 weeks</t>
  </si>
  <si>
    <t xml:space="preserve">Time-to-market for 2nd marketplace</t>
  </si>
  <si>
    <t xml:space="preserve">SCOPE BOUNDARIES (In vs Out)</t>
  </si>
  <si>
    <t xml:space="preserve">In Scope</t>
  </si>
  <si>
    <t xml:space="preserve">Out of Scope (Future Releases)</t>
  </si>
  <si>
    <t xml:space="preserve">Amazon.com product pages (ASIN extraction)</t>
  </si>
  <si>
    <t xml:space="preserve">Other Amazon marketplaces (UK, DE, JP)</t>
  </si>
  <si>
    <t xml:space="preserve">On-demand user-triggered analysis only</t>
  </si>
  <si>
    <t xml:space="preserve">Auto-scanning all visited pages</t>
  </si>
  <si>
    <t xml:space="preserve">Local ML inference (ONNX Runtime Web / WebNN)</t>
  </si>
  <si>
    <t xml:space="preserve">Server-side ML or cloud API calls</t>
  </si>
  <si>
    <t xml:space="preserve">Chrome + Edge (Chromium-based)</t>
  </si>
  <si>
    <t xml:space="preserve">Firefox, Safari (cross-browser support)</t>
  </si>
  <si>
    <t xml:space="preserve">JSON export / secure data wipe</t>
  </si>
  <si>
    <t xml:space="preserve">Cloud backup or sync services</t>
  </si>
  <si>
    <t xml:space="preserve">True Value + Personal Fit scoring</t>
  </si>
  <si>
    <t xml:space="preserve">Historical price tracking over time</t>
  </si>
  <si>
    <t xml:space="preserve">Bundle suggestions from local heuristics</t>
  </si>
  <si>
    <t xml:space="preserve">Real-time inventory or pricing APIs</t>
  </si>
  <si>
    <t xml:space="preserve">RESEARCH-BACKED ARCHITECTURE DECISIONS</t>
  </si>
  <si>
    <t xml:space="preserve">Decision</t>
  </si>
  <si>
    <t xml:space="preserve">Selected Option</t>
  </si>
  <si>
    <t xml:space="preserve">Rejected Alternatives</t>
  </si>
  <si>
    <t xml:space="preserve">Research Evidence</t>
  </si>
  <si>
    <t xml:space="preserve">Extension Framework</t>
  </si>
  <si>
    <t xml:space="preserve">WXT</t>
  </si>
  <si>
    <t xml:space="preserve">Plasmo (Parcel bugs, maintenance mode); CRXJS (too low-level)</t>
  </si>
  <si>
    <t xml:space="preserve">WXT offers best HMR, active maintenance, Vite ecosystem [1][2][3]</t>
  </si>
  <si>
    <t xml:space="preserve">Bundler</t>
  </si>
  <si>
    <t xml:space="preserve">Vite</t>
  </si>
  <si>
    <t xml:space="preserve">Parcel (Plasmo); Webpack (slower, more config)</t>
  </si>
  <si>
    <t xml:space="preserve">Vite tree-shaking reduces bundle size by ~43% vs Parcel builds [3]</t>
  </si>
  <si>
    <t xml:space="preserve">UI Library</t>
  </si>
  <si>
    <t xml:space="preserve">React 19 + shadcn/ui</t>
  </si>
  <si>
    <t xml:space="preserve">Vue/Svelte (team expertise); Material UI (heavier bundle)</t>
  </si>
  <si>
    <t xml:space="preserve">React 19 concurrent mode reduces content script paint latency 68ms [4]</t>
  </si>
  <si>
    <t xml:space="preserve">Storage Encryption</t>
  </si>
  <si>
    <t xml:space="preserve">Web Crypto AES-GCM-256 + PBKDF2</t>
  </si>
  <si>
    <t xml:space="preserve">crypto-js (larger, slower); no encryption (policy violation)</t>
  </si>
  <si>
    <t xml:space="preserve">Web Crypto is native, audited, and required by CWS for sensitive data [5][6]</t>
  </si>
  <si>
    <t xml:space="preserve">Offscreen Document + ONNX Runtime Web</t>
  </si>
  <si>
    <t xml:space="preserve">Service worker direct WASM (no WebGPU access); Remote API (privacy risk)</t>
  </si>
  <si>
    <t xml:space="preserve">Offscreen docs are the only MV3 path to WebGPU/WASM for heavy compute [7][8]</t>
  </si>
  <si>
    <t xml:space="preserve">Product Extraction</t>
  </si>
  <si>
    <t xml:space="preserve">JSON-LD Schema.org fallback to DOM</t>
  </si>
  <si>
    <t xml:space="preserve">Pure DOM scraping (fragile); Amazon API (requires approval, restricted use)</t>
  </si>
  <si>
    <t xml:space="preserve">URL-first ASIN detection + JSON-LD is 10x faster and structurally stable [9]</t>
  </si>
  <si>
    <t xml:space="preserve">Local MAB + Genome Vector</t>
  </si>
  <si>
    <t xml:space="preserve">Cloud collaborative filtering (privacy risk); Pure MF (cold start)</t>
  </si>
  <si>
    <t xml:space="preserve">On-device MAB balances exploration/exploitation without server; FedRec surveys confirm feasibility [10][11]</t>
  </si>
  <si>
    <t xml:space="preserve">Bundle Optimizer</t>
  </si>
  <si>
    <t xml:space="preserve">Local heuristic + co-occurrence matrix</t>
  </si>
  <si>
    <t xml:space="preserve">Amazon PA-API bundle data (restricted); server-side ML</t>
  </si>
  <si>
    <t xml:space="preserve">Local-only computation ensures compliance with 'no remote data' constraint</t>
  </si>
  <si>
    <t xml:space="preserve">Phase 1 — Core MVP (Weeks 1-8)</t>
  </si>
  <si>
    <t xml:space="preserve">Goal: Production-ready Manifest V3 extension with Genome Engine, True Value Scout, local encryption, and Popup UI</t>
  </si>
  <si>
    <t xml:space="preserve">ID</t>
  </si>
  <si>
    <t xml:space="preserve">Task Name</t>
  </si>
  <si>
    <t xml:space="preserve">Description / Deliverables</t>
  </si>
  <si>
    <t xml:space="preserve">Week</t>
  </si>
  <si>
    <t xml:space="preserve">Effort (hrs)</t>
  </si>
  <si>
    <t xml:space="preserve">Owner</t>
  </si>
  <si>
    <t xml:space="preserve">Dependencies</t>
  </si>
  <si>
    <t xml:space="preserve">Status</t>
  </si>
  <si>
    <t xml:space="preserve">P1.1</t>
  </si>
  <si>
    <t xml:space="preserve">Project Bootstrap &amp; WXT Setup</t>
  </si>
  <si>
    <t xml:space="preserve">Initialize WXT project with React 19 + TypeScript strict. Configure manifest.json (MV3), permissions (activeTab, scripting, storage, alarms), icons, and build pipeline. Set up ESLint + Prettier.</t>
  </si>
  <si>
    <t xml:space="preserve">Tech Lead</t>
  </si>
  <si>
    <t xml:space="preserve">—</t>
  </si>
  <si>
    <t xml:space="preserve">Pending</t>
  </si>
  <si>
    <t xml:space="preserve">P1.2</t>
  </si>
  <si>
    <t xml:space="preserve">Storage &amp; Encryption Layer</t>
  </si>
  <si>
    <t xml:space="preserve">Implement AES-GCM-256 encrypt/decrypt helpers using Web Crypto API (SubtleCrypto). Derive keys via PBKDF2 with 600K iterations. Create typed storage wrapper over chrome.storage.local + IndexedDB for Genome and product cache.</t>
  </si>
  <si>
    <t xml:space="preserve">P1.3</t>
  </si>
  <si>
    <t xml:space="preserve">Background Service Worker</t>
  </si>
  <si>
    <t xml:space="preserve">Define message passing architecture (typed). Handle install/update events. Implement offscreen document lifecycle manager for ML workloads. Ensure service worker state persistence via storage (no globals).</t>
  </si>
  <si>
    <t xml:space="preserve">Backend Dev</t>
  </si>
  <si>
    <t xml:space="preserve">P1.4</t>
  </si>
  <si>
    <t xml:space="preserve">Content Script - Amazon Scraper</t>
  </si>
  <si>
    <t xml:space="preserve">URL-first ASIN detection (/dp/, /gp/product/). Extract JSON-LD Schema.org Product data (name, image, offers.price, aggregateRating). Fallback to DOM selectors for missing fields. Send extracted data to background.</t>
  </si>
  <si>
    <t xml:space="preserve">Frontend Dev</t>
  </si>
  <si>
    <t xml:space="preserve">P1.5</t>
  </si>
  <si>
    <t xml:space="preserve">Genome Engine - Data Model</t>
  </si>
  <si>
    <t xml:space="preserve">Design Genome type: preference vector (8-12 dimensions: eco, local, premium, brand-loyalty, repairability, urgency, category-weights, budget). Implement CRUD via encrypted storage. Seed with onboarding quiz defaults.</t>
  </si>
  <si>
    <t xml:space="preserve">P1.6</t>
  </si>
  <si>
    <t xml:space="preserve">Onboarding Flow UI</t>
  </si>
  <si>
    <t xml:space="preserve">Multi-step wizard in popup/options: 6-8 preference questions with Likert-scale sliders. Store results as initial Genome. Progress persistence. Skip/resume support. Accessible focus management.</t>
  </si>
  <si>
    <t xml:space="preserve">P1.7</t>
  </si>
  <si>
    <t xml:space="preserve">True Value Score Algorithm</t>
  </si>
  <si>
    <t xml:space="preserve">Implement score computation: normalized price-per-unit vs category median, rating quality (review count + distribution), brand trust index (local lookup), seasonal demand adjustment. Return 0-100 score with sub-component breakdown.</t>
  </si>
  <si>
    <t xml:space="preserve">ML Engineer</t>
  </si>
  <si>
    <t xml:space="preserve">P1.4, P1.5</t>
  </si>
  <si>
    <t xml:space="preserve">P1.8</t>
  </si>
  <si>
    <t xml:space="preserve">Personal Fit Score Algorithm</t>
  </si>
  <si>
    <t xml:space="preserve">Cosine similarity between Genome vector and product attribute vector (extracted from JSON-LD + category heuristics). Weighted by user-adjustable priorities. Return 0-100 score with top-matching dimensions.</t>
  </si>
  <si>
    <t xml:space="preserve">P1.5, P1.7</t>
  </si>
  <si>
    <t xml:space="preserve">P1.9</t>
  </si>
  <si>
    <t xml:space="preserve">Popup Dashboard UI</t>
  </si>
  <si>
    <t xml:space="preserve">React 19 + shadcn/ui components: Quick Scout button, Genome summary mini-card, recent analyses list. Responsive layout (320x400 popup). Dark/light theme support via CSS variables.</t>
  </si>
  <si>
    <t xml:space="preserve">P1.10</t>
  </si>
  <si>
    <t xml:space="preserve">Scout Result Panel</t>
  </si>
  <si>
    <t xml:space="preserve">Detailed view: True Value Score (radar/bar chart), Personal Fit Score, explanation bullets, alternative suggestions (local cache lookup). Action buttons: 'Re-analyze', 'Save to Favorites', 'Not Interested' feedback.</t>
  </si>
  <si>
    <t xml:space="preserve">P1.7, P1.8, P1.9</t>
  </si>
  <si>
    <t xml:space="preserve">P1.11</t>
  </si>
  <si>
    <t xml:space="preserve">Feedback Loop Engine</t>
  </si>
  <si>
    <t xml:space="preserve">User feedback ('Not Interested', 'Saved', 'Purchased') updates Genome via weighted gradient descent (local, no server). Implement conservative learning rate to avoid overfitting to single actions.</t>
  </si>
  <si>
    <t xml:space="preserve">P1.8, P1.10</t>
  </si>
  <si>
    <t xml:space="preserve">P1.12</t>
  </si>
  <si>
    <t xml:space="preserve">Product Cache &amp; Indexing</t>
  </si>
  <si>
    <t xml:space="preserve">IndexedDB cache for analyzed products (TTL 7 days). Index by ASIN for deduplication. LRU eviction when store exceeds 50MB. Background cleanup via alarms API.</t>
  </si>
  <si>
    <t xml:space="preserve">P1.2, P1.4</t>
  </si>
  <si>
    <t xml:space="preserve">P1.13</t>
  </si>
  <si>
    <t xml:space="preserve">Privacy &amp; Compliance Shell</t>
  </si>
  <si>
    <t xml:space="preserve">Privacy Notice component (popup + options). Data Export to JSON (one-click). Secure Data Wipe (overwrite then delete, with confirmation). Compliance info section with CWS Limited Use summary.</t>
  </si>
  <si>
    <t xml:space="preserve">P1.14</t>
  </si>
  <si>
    <t xml:space="preserve">End-to-End Integration Testing</t>
  </si>
  <si>
    <t xml:space="preserve">Playwright test suite: install → onboarding → scrape product → compute scores → display results → export data → wipe data. Test on Amazon search, product, and review pages.</t>
  </si>
  <si>
    <t xml:space="preserve">QA / Tech Lead</t>
  </si>
  <si>
    <t xml:space="preserve">P1.10, P1.13</t>
  </si>
  <si>
    <t xml:space="preserve">P1.15</t>
  </si>
  <si>
    <t xml:space="preserve">Bundle Optimization &amp; Store Prep</t>
  </si>
  <si>
    <t xml:space="preserve">Tree-shaking audit (webpack-bundle-analyzer equivalent). Minify and verify bundle &lt; 2.5MB. Prepare store assets: screenshots, description, privacy policy URL. Submit to Chrome Web Store (dev channel).</t>
  </si>
  <si>
    <t xml:space="preserve">Phase 1 Summary</t>
  </si>
  <si>
    <t xml:space="preserve">Total Tasks</t>
  </si>
  <si>
    <t xml:space="preserve">Total Effort (hrs)</t>
  </si>
  <si>
    <t xml:space="preserve">Duration (weeks)</t>
  </si>
  <si>
    <t xml:space="preserve">WEEK ALLOCATION LEGEND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</si>
  <si>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</si>
  <si>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</si>
  <si>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</si>
  <si>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</si>
  <si>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</si>
  <si>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</si>
  <si>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</si>
  <si>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</si>
  <si>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Phase 2 — Extended MVP (Weeks 9-14)</t>
  </si>
  <si>
    <t xml:space="preserve">Goal: Ethical Bundle Optimizer, product analysis caching, Amazon Creators API (Deep Check), and full Options Page</t>
  </si>
  <si>
    <t xml:space="preserve">P2.1</t>
  </si>
  <si>
    <t xml:space="preserve">Options Page Architecture</t>
  </si>
  <si>
    <t xml:space="preserve">Full-page React app (WXT options entrypoint). Navigation: Settings, Privacy, Genome Editor, Deep Check, About. Responsive layout with shadcn/ui Tabs and Cards.</t>
  </si>
  <si>
    <t xml:space="preserve">P2.2</t>
  </si>
  <si>
    <t xml:space="preserve">Genome Editor UI</t>
  </si>
  <si>
    <t xml:space="preserve">Visual editor for preference vector dimensions: sliders, toggles, category weight adjustments. Real-time preview of how changes affect past scores. Reset to defaults. Export/Import Genome JSON.</t>
  </si>
  <si>
    <t xml:space="preserve">P2.3</t>
  </si>
  <si>
    <t xml:space="preserve">Analysis Cache Manager</t>
  </si>
  <si>
    <t xml:space="preserve">IndexedDB cache with 7-day TTL and 50MB cap. Cache hit/miss analytics in Options. Manual cache flush. Smart pre-fetching for related products from search results page.</t>
  </si>
  <si>
    <t xml:space="preserve">P2.4</t>
  </si>
  <si>
    <t xml:space="preserve">Local-only complementary product suggestions using co-occurrence matrix (trained on public category association data, not user behavior). Bundle Score = value_sum * fit_avg * overlap_penalty. Show rationale per item.</t>
  </si>
  <si>
    <t xml:space="preserve">P1.7, P1.8</t>
  </si>
  <si>
    <t xml:space="preserve">P2.5</t>
  </si>
  <si>
    <t xml:space="preserve">Bundle UI Panel</t>
  </si>
  <si>
    <t xml:space="preserve">Inline panel in Scout Result: 'Frequently Bought Together (Ethical)' with toggle to expand. Each bundle item shows individual True Value + Fit scores. One-click add-to-favorites for bundle items.</t>
  </si>
  <si>
    <t xml:space="preserve">P2.6</t>
  </si>
  <si>
    <t xml:space="preserve">Amazon Creators API - OAuth</t>
  </si>
  <si>
    <t xml:space="preserve">OAuth 2.0 flow for Amazon Product Advertising API (PA-API 5.0). Scope limited to item lookup only. Deep Check opt-in gate: explicit user consent before any external API call. Token refresh logic.</t>
  </si>
  <si>
    <t xml:space="preserve">P2.7</t>
  </si>
  <si>
    <t xml:space="preserve">Deep Check Integration</t>
  </si>
  <si>
    <t xml:space="preserve">When user triggers Deep Check: call PA-API for real-time price, availability, and additional attributes. Merge with local analysis. Cache API response (TTL 1 hour). Rate limit: max 10 calls/minute.</t>
  </si>
  <si>
    <t xml:space="preserve">P2.8</t>
  </si>
  <si>
    <t xml:space="preserve">Advanced Privacy Controls</t>
  </si>
  <si>
    <t xml:space="preserve">Granular toggles: disable caching, disable ML offscreen doc, disable Deep Check. Data audit log: view every stored record with timestamp. Scheduled auto-wipe (optional, configurable interval).</t>
  </si>
  <si>
    <t xml:space="preserve">P2.9</t>
  </si>
  <si>
    <t xml:space="preserve">Cross-Page Genome Sync</t>
  </si>
  <si>
    <t xml:space="preserve">Synchronize Genome updates across all extension contexts (popup, options, content script) via chrome.storage.onChanged listeners. Prevent race conditions with versioning/timestamps.</t>
  </si>
  <si>
    <t xml:space="preserve">P2.10</t>
  </si>
  <si>
    <t xml:space="preserve">Performance &amp; Regression Testing</t>
  </si>
  <si>
    <t xml:space="preserve">Lighthouse audit in extension popup. ML inference benchmark: measure WebNN vs WASM vs CPU latency. Memory profiling for offscreen document. Stress test: 100 consecutive analyses without crash.</t>
  </si>
  <si>
    <t xml:space="preserve">P2.5, P2.7</t>
  </si>
  <si>
    <t xml:space="preserve">P2.11</t>
  </si>
  <si>
    <t xml:space="preserve">Store Release &amp; Monitoring</t>
  </si>
  <si>
    <t xml:space="preserve">Production build, source maps stripped. Chrome Web Store release (prod). Error tracking (local-only log export, no telemetry). Review response plan for policy questions.</t>
  </si>
  <si>
    <t xml:space="preserve">Phase 2 Summary</t>
  </si>
  <si>
    <t xml:space="preserve">PROJECT TOTALS (Phase 1 + Phase 2)</t>
  </si>
  <si>
    <t xml:space="preserve">Combined Tasks</t>
  </si>
  <si>
    <t xml:space="preserve">Combined Effort (hrs)</t>
  </si>
  <si>
    <t xml:space="preserve">Total Duration (weeks)</t>
  </si>
  <si>
    <t xml:space="preserve">Tech Stack &amp; Architecture Decisions</t>
  </si>
  <si>
    <t xml:space="preserve">FRAMEWORK COMPARISON (WXT vs Plasmo vs CRXJS)</t>
  </si>
  <si>
    <t xml:space="preserve">Criteria</t>
  </si>
  <si>
    <t xml:space="preserve">Plasmo</t>
  </si>
  <si>
    <t xml:space="preserve">CRXJS</t>
  </si>
  <si>
    <t xml:space="preserve">Maintenance Status</t>
  </si>
  <si>
    <t xml:space="preserve">Active (2025)</t>
  </si>
  <si>
    <t xml:space="preserve">Stagnant / maintenance mode</t>
  </si>
  <si>
    <t xml:space="preserve">Revived but unstable history</t>
  </si>
  <si>
    <t xml:space="preserve">WXT: regular releases; Plasmo: PRs/issues unhandled for months [1][2]</t>
  </si>
  <si>
    <t xml:space="preserve">Underlying Bundler</t>
  </si>
  <si>
    <t xml:space="preserve">Parcel</t>
  </si>
  <si>
    <t xml:space="preserve">Vite has superior tree-shaking and HMR; Parcel has upstream bugs unpatched [2][3]</t>
  </si>
  <si>
    <t xml:space="preserve">Build Size (example)</t>
  </si>
  <si>
    <t xml:space="preserve">~400 KB</t>
  </si>
  <si>
    <t xml:space="preserve">~700 KB</t>
  </si>
  <si>
    <t xml:space="preserve">Varies</t>
  </si>
  <si>
    <t xml:space="preserve">Migration case study: same extension 700KB → 400KB [3]</t>
  </si>
  <si>
    <t xml:space="preserve">HMR Reliability</t>
  </si>
  <si>
    <t xml:space="preserve">Excellent</t>
  </si>
  <si>
    <t xml:space="preserve">Poor / React-only</t>
  </si>
  <si>
    <t xml:space="preserve">WXT HMR works across all contexts; Plasmo often requires full reload [2]</t>
  </si>
  <si>
    <t xml:space="preserve">Framework Lock-in</t>
  </si>
  <si>
    <t xml:space="preserve">Low (Vite standard)</t>
  </si>
  <si>
    <t xml:space="preserve">High (Parcel abstraction)</t>
  </si>
  <si>
    <t xml:space="preserve">Low</t>
  </si>
  <si>
    <t xml:space="preserve">If WXT dies, migrating to Vite directly is trivial [3]</t>
  </si>
  <si>
    <t xml:space="preserve">Auto-imports</t>
  </si>
  <si>
    <t xml:space="preserve">Yes</t>
  </si>
  <si>
    <t xml:space="preserve">No</t>
  </si>
  <si>
    <t xml:space="preserve">WXT auto-imports boost productivity; not available elsewhere [1]</t>
  </si>
  <si>
    <t xml:space="preserve">Cross-browser</t>
  </si>
  <si>
    <t xml:space="preserve">Chrome, Edge, Firefox</t>
  </si>
  <si>
    <t xml:space="preserve">Chrome only (MV3)</t>
  </si>
  <si>
    <t xml:space="preserve">WXT and Plasmo support all major browsers [1]</t>
  </si>
  <si>
    <t xml:space="preserve">Manifest V3 Support</t>
  </si>
  <si>
    <t xml:space="preserve">First-class</t>
  </si>
  <si>
    <t xml:space="preserve">Partial</t>
  </si>
  <si>
    <t xml:space="preserve">CRXJS cannot build MV2+MV3 from same codebase [1]</t>
  </si>
  <si>
    <t xml:space="preserve">RUNTIME ARCHITECTURE (MV3 Isolated Contexts)</t>
  </si>
  <si>
    <t xml:space="preserve">Layer</t>
  </si>
  <si>
    <t xml:space="preserve">Technology</t>
  </si>
  <si>
    <t xml:space="preserve">Responsibilities</t>
  </si>
  <si>
    <t xml:space="preserve">Constraints</t>
  </si>
  <si>
    <t xml:space="preserve">Background (Service Worker)</t>
  </si>
  <si>
    <t xml:space="preserve">TypeScript / WXT</t>
  </si>
  <si>
    <t xml:space="preserve">Event routing, storage orchestration, offscreen lifecycle, message hub</t>
  </si>
  <si>
    <t xml:space="preserve">No DOM access; terminates when idle; persist state in chrome.storage only</t>
  </si>
  <si>
    <t xml:space="preserve">Content Script</t>
  </si>
  <si>
    <t xml:space="preserve">TypeScript + Shadow DOM UI</t>
  </si>
  <si>
    <t xml:space="preserve">Page scraping (JSON-LD + DOM fallback), inject Scout Result panel, send data to background</t>
  </si>
  <si>
    <t xml:space="preserve">Isolated world; no access to page JS variables; CSP restrictions</t>
  </si>
  <si>
    <t xml:space="preserve">Popup</t>
  </si>
  <si>
    <t xml:space="preserve">Quick Scout trigger, Genome summary, recent analyses, onboarding entry</t>
  </si>
  <si>
    <t xml:space="preserve">Closes on blur; must be lightweight; no persistent state</t>
  </si>
  <si>
    <t xml:space="preserve">Options Page</t>
  </si>
  <si>
    <t xml:space="preserve">Genome editor, privacy controls, export/wipe, Deep Check toggle, compliance info</t>
  </si>
  <si>
    <t xml:space="preserve">Full-page SPA; can use localStorage (but prefer chrome.storage)</t>
  </si>
  <si>
    <t xml:space="preserve">Offscreen Document</t>
  </si>
  <si>
    <t xml:space="preserve">ONNX Runtime Web / WebNN</t>
  </si>
  <si>
    <t xml:space="preserve">Heavy ML inference: embedding extraction, score computation, optional LLM deobfuscation</t>
  </si>
  <si>
    <t xml:space="preserve">No chrome.storage/tabs APIs; only chrome.runtime messaging; invisible DOM</t>
  </si>
  <si>
    <t xml:space="preserve">DATA FLOW &amp; MESSAGE PASSING</t>
  </si>
  <si>
    <t xml:space="preserve">Step</t>
  </si>
  <si>
    <t xml:space="preserve">From</t>
  </si>
  <si>
    <t xml:space="preserve">To</t>
  </si>
  <si>
    <t xml:space="preserve">Message Type</t>
  </si>
  <si>
    <t xml:space="preserve">Payload</t>
  </si>
  <si>
    <t xml:space="preserve">1</t>
  </si>
  <si>
    <t xml:space="preserve">User</t>
  </si>
  <si>
    <t xml:space="preserve">CLICK</t>
  </si>
  <si>
    <t xml:space="preserve">Trigger Scout on active tab</t>
  </si>
  <si>
    <t xml:space="preserve">2</t>
  </si>
  <si>
    <t xml:space="preserve">Background</t>
  </si>
  <si>
    <t xml:space="preserve">SCRAPE_REQUEST</t>
  </si>
  <si>
    <t xml:space="preserve">{ tabId, action: 'analyzeProduct' }</t>
  </si>
  <si>
    <t xml:space="preserve">3</t>
  </si>
  <si>
    <t xml:space="preserve">EXECUTE_SCRAPER</t>
  </si>
  <si>
    <t xml:space="preserve">Inject scraper function via scripting.executeScript</t>
  </si>
  <si>
    <t xml:space="preserve">4</t>
  </si>
  <si>
    <t xml:space="preserve">PRODUCT_DATA</t>
  </si>
  <si>
    <t xml:space="preserve">{ asin, title, price, rating, reviewCount, jsonLd, url }</t>
  </si>
  <si>
    <t xml:space="preserve">5</t>
  </si>
  <si>
    <t xml:space="preserve">Offscreen</t>
  </si>
  <si>
    <t xml:space="preserve">COMPUTE_SCORES</t>
  </si>
  <si>
    <t xml:space="preserve">{ productData, genomeVector }</t>
  </si>
  <si>
    <t xml:space="preserve">6</t>
  </si>
  <si>
    <t xml:space="preserve">SCORE_RESULT</t>
  </si>
  <si>
    <t xml:space="preserve">{ trueValue: 78, personalFit: 82, breakdown: {...} }</t>
  </si>
  <si>
    <t xml:space="preserve">7</t>
  </si>
  <si>
    <t xml:space="preserve">RENDER_PANEL</t>
  </si>
  <si>
    <t xml:space="preserve">Score data + alternative suggestions</t>
  </si>
  <si>
    <t xml:space="preserve">8</t>
  </si>
  <si>
    <t xml:space="preserve">FEEDBACK</t>
  </si>
  <si>
    <t xml:space="preserve">{ action: 'notInterested' | 'saved' | 'purchased', asin }</t>
  </si>
  <si>
    <t xml:space="preserve">9</t>
  </si>
  <si>
    <t xml:space="preserve">UPDATE_GENOME</t>
  </si>
  <si>
    <t xml:space="preserve">Feedback vector for gradient update</t>
  </si>
  <si>
    <t xml:space="preserve">10</t>
  </si>
  <si>
    <t xml:space="preserve">SYNC_STATE</t>
  </si>
  <si>
    <t xml:space="preserve">Updated Genome + recent analyses list</t>
  </si>
  <si>
    <t xml:space="preserve">SECURITY &amp; ENCRYPTION MODEL</t>
  </si>
  <si>
    <t xml:space="preserve">Component</t>
  </si>
  <si>
    <t xml:space="preserve">Mechanism</t>
  </si>
  <si>
    <t xml:space="preserve">Standard</t>
  </si>
  <si>
    <t xml:space="preserve">Rationale</t>
  </si>
  <si>
    <t xml:space="preserve">Key Derivation</t>
  </si>
  <si>
    <t xml:space="preserve">PBKDF2 (SHA-256, 600K iterations)</t>
  </si>
  <si>
    <t xml:space="preserve">NIST SP 800-132</t>
  </si>
  <si>
    <t xml:space="preserve">Slows brute-force attacks; 600K is OWASP 2023 recommendation [5]</t>
  </si>
  <si>
    <t xml:space="preserve">Symmetric Encryption</t>
  </si>
  <si>
    <t xml:space="preserve">AES-GCM-256</t>
  </si>
  <si>
    <t xml:space="preserve">NIST FIPS 197</t>
  </si>
  <si>
    <t xml:space="preserve">Authenticated encryption prevents tampering; 256-bit key length [6]</t>
  </si>
  <si>
    <t xml:space="preserve">Random IV Generation</t>
  </si>
  <si>
    <t xml:space="preserve">crypto.getRandomValues(12 bytes)</t>
  </si>
  <si>
    <t xml:space="preserve">Web Crypto API</t>
  </si>
  <si>
    <t xml:space="preserve">96-bit nonce is standard for AES-GCM; never reuse IV with same key [6]</t>
  </si>
  <si>
    <t xml:space="preserve">Key Storage</t>
  </si>
  <si>
    <t xml:space="preserve">Derived key held in memory only; not persisted</t>
  </si>
  <si>
    <t xml:space="preserve">Zero-trust local model</t>
  </si>
  <si>
    <t xml:space="preserve">If key is stored on disk, infostealers can decrypt; memory-only is password-manager pattern [5]</t>
  </si>
  <si>
    <t xml:space="preserve">Data Storage</t>
  </si>
  <si>
    <t xml:space="preserve">chrome.storage.local + IndexedDB</t>
  </si>
  <si>
    <t xml:space="preserve">Chrome Extension APIs</t>
  </si>
  <si>
    <t xml:space="preserve">chrome.storage is sandboxed per-extension; IndexedDB for structured large objects [7]</t>
  </si>
  <si>
    <t xml:space="preserve">CSP</t>
  </si>
  <si>
    <t xml:space="preserve">script-src 'self' 'wasm-unsafe-eval'</t>
  </si>
  <si>
    <t xml:space="preserve">Manifest V3 CSP</t>
  </si>
  <si>
    <t xml:space="preserve">Required for ONNX Runtime WASM backend; no inline scripts allowed [8]</t>
  </si>
  <si>
    <t xml:space="preserve">Chrome Web Store policies, Amazon/FTC regulations, and privacy-law alignment</t>
  </si>
  <si>
    <t xml:space="preserve">CHROME WEB STORE DEVELOPER PROGRAM POLICIES</t>
  </si>
  <si>
    <t xml:space="preserve">Policy Requirement</t>
  </si>
  <si>
    <t xml:space="preserve">Implementation</t>
  </si>
  <si>
    <t xml:space="preserve">Verification Method</t>
  </si>
  <si>
    <t xml:space="preserve">Limited Use: collect only data required for single purpose</t>
  </si>
  <si>
    <t xml:space="preserve">Genome stored locally only; no remote transmission; scraped product data discarded after scoring unless user saves</t>
  </si>
  <si>
    <t xml:space="preserve">Code audit + network proxy test (confirm zero external calls)</t>
  </si>
  <si>
    <t xml:space="preserve">No sale/transfer of user data to third parties</t>
  </si>
  <si>
    <t xml:space="preserve">No analytics SDKs, no tracking pixels, no data brokers. Amazon API only used after explicit opt-in.</t>
  </si>
  <si>
    <t xml:space="preserve">Dependency audit (package.json review); network test</t>
  </si>
  <si>
    <t xml:space="preserve">Prominent Disclosure for non-obvious data collection</t>
  </si>
  <si>
    <t xml:space="preserve">Privacy Notice shown in onboarding and Options. 'What we collect' summary in popup footer.</t>
  </si>
  <si>
    <t xml:space="preserve">UX review: disclosure visible within 1 click from any screen</t>
  </si>
  <si>
    <t xml:space="preserve">Encrypt sensitive user data</t>
  </si>
  <si>
    <t xml:space="preserve">AES-GCM-256 for Genome and saved products. HTTPS for any external API (Deep Check only).</t>
  </si>
  <si>
    <t xml:space="preserve">Penetration test: extract storage files, verify ciphertext</t>
  </si>
  <si>
    <t xml:space="preserve">Minimum functionality / no broken features</t>
  </si>
  <si>
    <t xml:space="preserve">All UI buttons wired to real functions. No placeholder screens. Graceful error handling for scraping failures.</t>
  </si>
  <si>
    <t xml:space="preserve">Manual QA + automated Playwright test suite</t>
  </si>
  <si>
    <t xml:space="preserve">QA</t>
  </si>
  <si>
    <t xml:space="preserve">No misleading or unexpected behavior</t>
  </si>
  <si>
    <t xml:space="preserve">Extension performs exactly as described: on-demand analysis only. No hidden auto-scraping.</t>
  </si>
  <si>
    <t xml:space="preserve">Code review + dynamic analysis (monitor background activity)</t>
  </si>
  <si>
    <t xml:space="preserve">Accurate metadata and privacy labels</t>
  </si>
  <si>
    <t xml:space="preserve">CWS listing includes: privacy policy URL, data usage cert, single purpose description, screenshot accuracy.</t>
  </si>
  <si>
    <t xml:space="preserve">Pre-submission checklist against CWS guidelines</t>
  </si>
  <si>
    <t xml:space="preserve">Affiliate Disclosure (if applicable)</t>
  </si>
  <si>
    <t xml:space="preserve">Extension does NOT generate affiliate links. If future monetization added, explicit '#ad' or 'Paid link' disclosure required.</t>
  </si>
  <si>
    <t xml:space="preserve">Legal review of any monetization feature</t>
  </si>
  <si>
    <t xml:space="preserve">Product Owner</t>
  </si>
  <si>
    <t xml:space="preserve">AMAZON &amp; FTC COMPLIANCE</t>
  </si>
  <si>
    <t xml:space="preserve">Rule</t>
  </si>
  <si>
    <t xml:space="preserve">Requirement</t>
  </si>
  <si>
    <t xml:space="preserve">Risk if Violated</t>
  </si>
  <si>
    <t xml:space="preserve">No affiliate link injection</t>
  </si>
  <si>
    <t xml:space="preserve">Extension must never modify Amazon URLs to add affiliate tags</t>
  </si>
  <si>
    <t xml:space="preserve">Scraper extracts data only; all links remain unmodified Amazon URLs</t>
  </si>
  <si>
    <t xml:space="preserve">Amazon Associates termination; FTC fine up to $51,744/violation</t>
  </si>
  <si>
    <t xml:space="preserve">No auto-navigation</t>
  </si>
  <si>
    <t xml:space="preserve">User must explicitly trigger every action</t>
  </si>
  <si>
    <t xml:space="preserve">All analysis requires explicit click. No page redirects, no auto-add-to-cart.</t>
  </si>
  <si>
    <t xml:space="preserve">CWS removal; user trust erosion</t>
  </si>
  <si>
    <t xml:space="preserve">No bulk scraping / data harvesting</t>
  </si>
  <si>
    <t xml:space="preserve">PA-API is for displaying products to end users, not internal bulk analytics</t>
  </si>
  <si>
    <t xml:space="preserve">Deep Check limited to single product lookup per user action; rate limiting enforced</t>
  </si>
  <si>
    <t xml:space="preserve">API key revocation; legal action</t>
  </si>
  <si>
    <t xml:space="preserve">Accurate pricing (if displayed)</t>
  </si>
  <si>
    <t xml:space="preserve">Prices must come from Amazon API, not cached or manual</t>
  </si>
  <si>
    <t xml:space="preserve">Deep Check fetches live price. Local analysis does NOT display price (only score).</t>
  </si>
  <si>
    <t xml:space="preserve">Amazon TOS violation</t>
  </si>
  <si>
    <t xml:space="preserve">FTC Endorsement Disclosure</t>
  </si>
  <si>
    <t xml:space="preserve">Material connection must be disclosed clearly and conspicuously</t>
  </si>
  <si>
    <t xml:space="preserve">No endorsements in MVP. Future monetization requires '#ad' or 'Paid link' near any compensated recommendation.</t>
  </si>
  <si>
    <t xml:space="preserve">FTC civil penalty; CWS removal</t>
  </si>
  <si>
    <t xml:space="preserve">Data Minimization (GDPR/CCPA)</t>
  </si>
  <si>
    <t xml:space="preserve">Collect only necessary data; provide deletion mechanism</t>
  </si>
  <si>
    <t xml:space="preserve">Genome is 8-12 dimensions max. One-click secure wipe deletes all local data. Export provided.</t>
  </si>
  <si>
    <t xml:space="preserve">Regulatory fine; class action risk</t>
  </si>
  <si>
    <t xml:space="preserve">PRIVACY CONTROLS IMPLEMENTATION CHECKLIST</t>
  </si>
  <si>
    <t xml:space="preserve">Control</t>
  </si>
  <si>
    <t xml:space="preserve">Location</t>
  </si>
  <si>
    <t xml:space="preserve">User Action Required</t>
  </si>
  <si>
    <t xml:space="preserve">View all stored data</t>
  </si>
  <si>
    <t xml:space="preserve">Options Page &gt; Privacy</t>
  </si>
  <si>
    <t xml:space="preserve">Required</t>
  </si>
  <si>
    <t xml:space="preserve">User clicks 'View Data' → JSON preview</t>
  </si>
  <si>
    <t xml:space="preserve">Export data to JSON</t>
  </si>
  <si>
    <t xml:space="preserve">User clicks 'Export' → download genome.json</t>
  </si>
  <si>
    <t xml:space="preserve">Secure data wipe</t>
  </si>
  <si>
    <t xml:space="preserve">User clicks 'Wipe All Data' → confirmation dialog → overwrite + delete</t>
  </si>
  <si>
    <t xml:space="preserve">Disable Deep Check / external API</t>
  </si>
  <si>
    <t xml:space="preserve">Options Page &gt; Deep Check</t>
  </si>
  <si>
    <t xml:space="preserve">User toggles off → all external calls blocked</t>
  </si>
  <si>
    <t xml:space="preserve">Disable product caching</t>
  </si>
  <si>
    <t xml:space="preserve">Recommended</t>
  </si>
  <si>
    <t xml:space="preserve">User toggles off → no product data retained beyond session</t>
  </si>
  <si>
    <t xml:space="preserve">Disable ML offscreen document</t>
  </si>
  <si>
    <t xml:space="preserve">Options Page &gt; Advanced</t>
  </si>
  <si>
    <t xml:space="preserve">Optional</t>
  </si>
  <si>
    <t xml:space="preserve">User toggles off → scores computed with lightweight heuristics only</t>
  </si>
  <si>
    <t xml:space="preserve">Onboarding consent</t>
  </si>
  <si>
    <t xml:space="preserve">First-run wizard</t>
  </si>
  <si>
    <t xml:space="preserve">User must click 'I understand' on privacy summary before proceeding</t>
  </si>
  <si>
    <t xml:space="preserve">Privacy policy link</t>
  </si>
  <si>
    <t xml:space="preserve">Popup footer + CWS listing</t>
  </si>
  <si>
    <t xml:space="preserve">User can open linked privacy policy any time</t>
  </si>
  <si>
    <t xml:space="preserve">Technical, legal, and market risks with probability/impact scoring and mitigation strategies</t>
  </si>
  <si>
    <t xml:space="preserve">Risk Category</t>
  </si>
  <si>
    <t xml:space="preserve">Risk Description</t>
  </si>
  <si>
    <t xml:space="preserve">Probability</t>
  </si>
  <si>
    <t xml:space="preserve">Impact</t>
  </si>
  <si>
    <t xml:space="preserve">Risk Score</t>
  </si>
  <si>
    <t xml:space="preserve">Mitigation Strategy</t>
  </si>
  <si>
    <t xml:space="preserve">R1</t>
  </si>
  <si>
    <t xml:space="preserve">Technical</t>
  </si>
  <si>
    <t xml:space="preserve">Amazon DOM structure changes break scraper extraction</t>
  </si>
  <si>
    <t xml:space="preserve">Dual-strategy: JSON-LD primary (stable schema.org) + DOM fallback with conservative selectors. Weekly automated test on top-100 ASINs.</t>
  </si>
  <si>
    <t xml:space="preserve">R2</t>
  </si>
  <si>
    <t xml:space="preserve">Bundle size exceeds 2.5MB due to ML model weight or dependencies</t>
  </si>
  <si>
    <t xml:space="preserve">Use quantized ONNX models (int8). Dynamic import for ML modules. Tree-shake shadcn/ui to used components only. Monitor with vite-bundle-analyzer.</t>
  </si>
  <si>
    <t xml:space="preserve">R3</t>
  </si>
  <si>
    <t xml:space="preserve">WebNN / ONNX Runtime Web incompatible with user's Chrome version</t>
  </si>
  <si>
    <t xml:space="preserve">Graceful degradation: detect WebNN support → fallback to WASM → fallback to pure-JS heuristics. Minimum Chrome version 116 (WebNN stable).</t>
  </si>
  <si>
    <t xml:space="preserve">R4</t>
  </si>
  <si>
    <t xml:space="preserve">Service worker terminates during long ML inference, corrupting state</t>
  </si>
  <si>
    <t xml:space="preserve">All heavy computation runs in offscreen document (persistent). Background worker only orchestrates; no inference in service worker.</t>
  </si>
  <si>
    <t xml:space="preserve">R5</t>
  </si>
  <si>
    <t xml:space="preserve">Legal</t>
  </si>
  <si>
    <t xml:space="preserve">Chrome Web Store rejects submission due to perceived data collection risk</t>
  </si>
  <si>
    <t xml:space="preserve">Pre-submission policy audit. Include privacy policy URL, Limited Use certification, and single-purpose explanation. Prepare reviewer notes addressing common rejection reasons.</t>
  </si>
  <si>
    <t xml:space="preserve">R6</t>
  </si>
  <si>
    <t xml:space="preserve">Amazon interprets scraping as TOS violation and blocks extension users</t>
  </si>
  <si>
    <t xml:space="preserve">Scraper reads publicly visible DOM/JSON-LD only (no API abuse). No bulk downloading. Rate-limit internal requests. Include TOS compliance statement in privacy policy.</t>
  </si>
  <si>
    <t xml:space="preserve">R7</t>
  </si>
  <si>
    <t xml:space="preserve">FTC or Amazon affiliate enforcement action due to future monetization</t>
  </si>
  <si>
    <t xml:space="preserve">MVP has zero affiliate links. Future monetization requires independent legal review and conspicuous '#ad' disclosure before any paid recommendation feature ships.</t>
  </si>
  <si>
    <t xml:space="preserve">R8</t>
  </si>
  <si>
    <t xml:space="preserve">Market</t>
  </si>
  <si>
    <t xml:space="preserve">User distrust due to AI-powered extension privacy scandals (e.g. Incogni 2025 report)</t>
  </si>
  <si>
    <t xml:space="preserve">Differentiate via transparency: open-source Genome logic, local-only processing badge, third-party privacy audit. No permissions beyond minimum (activeTab, scripting, storage).</t>
  </si>
  <si>
    <t xml:space="preserve">R9</t>
  </si>
  <si>
    <t xml:space="preserve">Competitor releases similar feature natively in Amazon app/website</t>
  </si>
  <si>
    <t xml:space="preserve">Focus on differentiation: ethical bundle optimizer, repairability scores, local privacy. Build community around transparency values that Amazon cannot replicate.</t>
  </si>
  <si>
    <t xml:space="preserve">R10</t>
  </si>
  <si>
    <t xml:space="preserve">React 19 concurrent features cause compatibility issues in extension contexts</t>
  </si>
  <si>
    <t xml:space="preserve">Test React 19 in all contexts (popup, options, shadow DOM). Use stable createRoot API. Avoid experimental APIs. Maintain fallback to React 18 if critical issues arise.</t>
  </si>
  <si>
    <t xml:space="preserve">R11</t>
  </si>
  <si>
    <t xml:space="preserve">PBKDF2 key derivation too slow on low-end devices (budget Chromebooks)</t>
  </si>
  <si>
    <t xml:space="preserve">Benchmark on low-end hardware. If &gt; 2s, reduce iterations to 100K with compensating UI (progress indicator). Cache derived key in memory for session duration.</t>
  </si>
  <si>
    <t xml:space="preserve">R12</t>
  </si>
  <si>
    <t xml:space="preserve">Genome feedback loop overfits to recent behavior, degrading recommendations</t>
  </si>
  <si>
    <t xml:space="preserve">Conservative learning rate (α ≤ 0.05). Cap maximum single-update magnitude. Implement 'recency bias' correction by weighting time-decay into feedback.</t>
  </si>
  <si>
    <t xml:space="preserve">RISK SUMMARY</t>
  </si>
  <si>
    <t xml:space="preserve">High Risks (Score ≥ 6)</t>
  </si>
  <si>
    <t xml:space="preserve">Medium Risks (Score 4-5)</t>
  </si>
  <si>
    <t xml:space="preserve">Low Risks (Score ≤ 3)</t>
  </si>
  <si>
    <t xml:space="preserve">Academic papers, official documentation, and technical references cited across the implementation plan</t>
  </si>
  <si>
    <t xml:space="preserve">Ref</t>
  </si>
  <si>
    <t xml:space="preserve">Source Title</t>
  </si>
  <si>
    <t xml:space="preserve">Type</t>
  </si>
  <si>
    <t xml:space="preserve">URL / Citation</t>
  </si>
  <si>
    <t xml:space="preserve">Relevance to Plan</t>
  </si>
  <si>
    <t xml:space="preserve">[1]</t>
  </si>
  <si>
    <t xml:space="preserve">WXT Official Documentation &amp; Comparison</t>
  </si>
  <si>
    <t xml:space="preserve">Official Docs</t>
  </si>
  <si>
    <t xml:space="preserve">https://wxt.dev/guide/resources/compare</t>
  </si>
  <si>
    <t xml:space="preserve">Framework selection; WXT vs Plasmo vs CRXJS feature matrix</t>
  </si>
  <si>
    <t xml:space="preserve">[2]</t>
  </si>
  <si>
    <t xml:space="preserve">Redreamality: 2025 State of Browser Extension Frameworks</t>
  </si>
  <si>
    <t xml:space="preserve">Technical Analysis</t>
  </si>
  <si>
    <t xml:space="preserve">https://redreamality.com/blog/the-2025-state-of-browser-extension-frameworks/</t>
  </si>
  <si>
    <t xml:space="preserve">WXT leadership rationale; maintenance status; bundler comparison</t>
  </si>
  <si>
    <t xml:space="preserve">[3]</t>
  </si>
  <si>
    <t xml:space="preserve">JetWriter: Why We Migrated from Plasmo to WXT</t>
  </si>
  <si>
    <t xml:space="preserve">Case Study</t>
  </si>
  <si>
    <t xml:space="preserve">https://jetwriter.ai/blog/migrate-plasmo-to-wxt</t>
  </si>
  <si>
    <t xml:space="preserve">Real-world migration data: bundle size 700KB→400KB; HMR reliability</t>
  </si>
  <si>
    <t xml:space="preserve">[4]</t>
  </si>
  <si>
    <t xml:space="preserve">Dev.to: React 19 in Browser Extensions (2026)</t>
  </si>
  <si>
    <t xml:space="preserve">Technical Guide</t>
  </si>
  <si>
    <t xml:space="preserve">https://dev.to/johalputt/deep-dive-how-react-19-works-in-browser-extensions</t>
  </si>
  <si>
    <t xml:space="preserve">React 19 concurrent mode reduces content script latency 68ms; Offscreen API</t>
  </si>
  <si>
    <t xml:space="preserve">[5]</t>
  </si>
  <si>
    <t xml:space="preserve">Medium: Securely Encrypting Data in Chrome Extension</t>
  </si>
  <si>
    <t xml:space="preserve">Security Guide</t>
  </si>
  <si>
    <t xml:space="preserve">https://codeguyakash.medium.com/securely-encrypting-data-in-a-chrome-extension</t>
  </si>
  <si>
    <t xml:space="preserve">AES-GCM + PBKDF2 pattern for extension local storage; key management strategies</t>
  </si>
  <si>
    <t xml:space="preserve">[6]</t>
  </si>
  <si>
    <t xml:space="preserve">W3C Web Cryptography API Level 2</t>
  </si>
  <si>
    <t xml:space="preserve">https://w3c.github.io/webcrypto/</t>
  </si>
  <si>
    <t xml:space="preserve">SubtleCrypto specification; AES-GCM-256 and PBKDF2 algorithm definitions</t>
  </si>
  <si>
    <t xml:space="preserve">[7]</t>
  </si>
  <si>
    <t xml:space="preserve">Medium: Transformers.js + ONNX Runtime WebGPU in Chrome Extension</t>
  </si>
  <si>
    <t xml:space="preserve">https://medium.com/@GenerationAI/transformers-js-onnx-runtime-webgpu-in-chrome-extension</t>
  </si>
  <si>
    <t xml:space="preserve">Offscreen document architecture for WASM/WebGPU ML in MV3; manifest configuration</t>
  </si>
  <si>
    <t xml:space="preserve">[8]</t>
  </si>
  <si>
    <t xml:space="preserve">ONNX Runtime: WebNN Execution Provider</t>
  </si>
  <si>
    <t xml:space="preserve">https://onnxruntime.ai/docs/tutorials/web/ep-webnn.html</t>
  </si>
  <si>
    <t xml:space="preserve">WebNN EP usage; device selection; performance characteristics</t>
  </si>
  <si>
    <t xml:space="preserve">[9]</t>
  </si>
  <si>
    <t xml:space="preserve">Shift8web: Chrome Extension for Amazon Fake Review Audit</t>
  </si>
  <si>
    <t xml:space="preserve">https://shift8web.ca/building-a-chrome-extension-to-fight-amazons-fake-review-problem/</t>
  </si>
  <si>
    <t xml:space="preserve">URL-first ASIN detection; JSON-LD vs DOM scraping; AJAX pagination handling</t>
  </si>
  <si>
    <t xml:space="preserve">[10]</t>
  </si>
  <si>
    <t xml:space="preserve">Gori &amp; Pucci: ItemRank (IJCAI 2007)</t>
  </si>
  <si>
    <t xml:space="preserve">Academic Paper</t>
  </si>
  <si>
    <t xml:space="preserve">https://www.ijcai.org/Proceedings/07/Papers/444.pdf</t>
  </si>
  <si>
    <t xml:space="preserve">Random-walk scoring algorithm for recommender engines; theoretical basis for True Value Score</t>
  </si>
  <si>
    <t xml:space="preserve">[11]</t>
  </si>
  <si>
    <t xml:space="preserve">arXiv: On-Device Recommender Systems Survey (2024)</t>
  </si>
  <si>
    <t xml:space="preserve">Academic Survey</t>
  </si>
  <si>
    <t xml:space="preserve">https://arxiv.org/html/2401.11441v3</t>
  </si>
  <si>
    <t xml:space="preserve">DeviceRS taxonomy; federated/decentralized recommendation; privacy risks and countermeasures</t>
  </si>
  <si>
    <t xml:space="preserve">[12]</t>
  </si>
  <si>
    <t xml:space="preserve">ScienceDirect: Multi-Armed Bandits in Recommendation Systems (2022)</t>
  </si>
  <si>
    <t xml:space="preserve">https://www.sciencedirect.com/science/article/abs/pii/S0957417422001543</t>
  </si>
  <si>
    <t xml:space="preserve">MAB framework for exploration-exploitation balance; systematic literature review</t>
  </si>
  <si>
    <t xml:space="preserve">[13]</t>
  </si>
  <si>
    <t xml:space="preserve">Brave: Federated Learning for On-Device Recommendations</t>
  </si>
  <si>
    <t xml:space="preserve">Research Blog</t>
  </si>
  <si>
    <t xml:space="preserve">https://brave.com/blog/federated-learning/</t>
  </si>
  <si>
    <t xml:space="preserve">Privacy-preserving local recommendation using differential privacy; HR@10 benchmarks</t>
  </si>
  <si>
    <t xml:space="preserve">[14]</t>
  </si>
  <si>
    <t xml:space="preserve">Chrome Web Store Developer Program Policies</t>
  </si>
  <si>
    <t xml:space="preserve">Policy</t>
  </si>
  <si>
    <t xml:space="preserve">https://developer.chrome.com/docs/webstore/program-policies/policies</t>
  </si>
  <si>
    <t xml:space="preserve">Limited Use requirements; data handling rules; permission minimization; affiliate disclosure</t>
  </si>
  <si>
    <t xml:space="preserve">[15]</t>
  </si>
  <si>
    <t xml:space="preserve">Geniuslink: Amazon Affiliate Disclosure Guide</t>
  </si>
  <si>
    <t xml:space="preserve">Compliance Guide</t>
  </si>
  <si>
    <t xml:space="preserve">https://geniuslink.com/blog/amazon-affiliate-disclosure-guide/</t>
  </si>
  <si>
    <t xml:space="preserve">FTC and Amazon disclosure requirements; civil penalty amounts; disclosure placement rules</t>
  </si>
  <si>
    <t xml:space="preserve">[16]</t>
  </si>
  <si>
    <t xml:space="preserve">arXiv: Preserving Privacy in LLM-Based Product Recommendations (2025)</t>
  </si>
  <si>
    <t xml:space="preserve">https://arxiv.org/html/2505.00951v1</t>
  </si>
  <si>
    <t xml:space="preserve">Hybrid local/server recommendation with obfuscation; on-device Llama 3.2 inference benchmarks</t>
  </si>
  <si>
    <t xml:space="preserve">[17]</t>
  </si>
  <si>
    <t xml:space="preserve">Schema.org Product Specification</t>
  </si>
  <si>
    <t xml:space="preserve">https://schema.org/Product</t>
  </si>
  <si>
    <t xml:space="preserve">JSON-LD structured data format for product extraction; name, offers, aggregateRating fields</t>
  </si>
  <si>
    <t xml:space="preserve">[18]</t>
  </si>
  <si>
    <t xml:space="preserve">MadDevs: Running AI Models Locally in Browser</t>
  </si>
  <si>
    <t xml:space="preserve">https://maddevs.io/writeups/running-ai-models-locally-in-the-browser/</t>
  </si>
  <si>
    <t xml:space="preserve">Transformers.js WebGPU inference latency (~20ms GPU, ~120ms CPU); quantization strategy</t>
  </si>
  <si>
    <t xml:space="preserve">[19]</t>
  </si>
  <si>
    <t xml:space="preserve">Journal of Parallel and Distributed Computing: FedNeuMF (2024)</t>
  </si>
  <si>
    <t xml:space="preserve">https://www.sciencedirect.com/science/article/abs/pii/S0743731522002477</t>
  </si>
  <si>
    <t xml:space="preserve">Federated collaborative filtering with microservices; privacy-preserving distributed recommendation</t>
  </si>
  <si>
    <t xml:space="preserve">[20]</t>
  </si>
  <si>
    <t xml:space="preserve">Developerway: Bundle Size Investigation Guide</t>
  </si>
  <si>
    <t xml:space="preserve">https://www.developerway.com/posts/bundle-size-investigation</t>
  </si>
  <si>
    <t xml:space="preserve">Tree-shaking patterns; namespace import anti-patterns; bundle analysis methodology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</si>
</sst>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General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333333"/>
      <name val="Calibri"/>
      <family val="0"/>
      <charset val="1"/>
    </font>
    <font>
      <sz val="12"/>
      <color rgb="FF666666"/>
      <name val="Calibri"/>
      <family val="0"/>
      <charset val="1"/>
    </font>
    <font>
      <b val="true"/>
      <sz val="13"/>
      <color rgb="FF33333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66CC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66CC"/>
      <name val="Calibri"/>
      <family val="0"/>
      <charset val="1"/>
    </font>
    <font>
      <i val="true"/>
      <sz val="10"/>
      <color rgb="FF888888"/>
      <name val="Calibri"/>
      <family val="0"/>
      <charset val="1"/>
    </font>
    <font>
      <b val="true"/>
      <sz val="18"/>
      <color rgb="FF333333"/>
      <name val="Calibri"/>
      <family val="0"/>
      <charset val="1"/>
    </font>
    <font>
      <b val="true"/>
      <sz val="16"/>
      <color rgb="FF333333"/>
      <name val="Calibri"/>
      <family val="0"/>
      <charset val="1"/>
    </font>
    <font>
      <sz val="11"/>
      <color rgb="FF999999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0"/>
      <color rgb="FF0066CC"/>
      <name val="Calibri"/>
      <family val="0"/>
      <charset val="1"/>
    </font>
    <font>
      <sz val="11"/>
      <color rgb="FFFF0000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E6F0FA"/>
        <bgColor rgb="FFD4E8F7"/>
      </patternFill>
    </fill>
    <fill>
      <patternFill patternType="solid">
        <fgColor rgb="FFF9F9F9"/>
        <bgColor rgb="FFFFFFFF"/>
      </patternFill>
    </fill>
    <fill>
      <patternFill patternType="solid">
        <fgColor rgb="FFD4E8F7"/>
        <bgColor rgb="FFE6F0FA"/>
      </patternFill>
    </fill>
    <fill>
      <patternFill patternType="solid">
        <fgColor rgb="FFC2E0F4"/>
        <bgColor rgb="FFB0D8F1"/>
      </patternFill>
    </fill>
    <fill>
      <patternFill patternType="solid">
        <fgColor rgb="FFB0D8F1"/>
        <bgColor rgb="FFC2E0F4"/>
      </patternFill>
    </fill>
    <fill>
      <patternFill patternType="solid">
        <fgColor rgb="FF9ED0EE"/>
        <bgColor rgb="FFB0D8F1"/>
      </patternFill>
    </fill>
    <fill>
      <patternFill patternType="solid">
        <fgColor rgb="FF8CC8EB"/>
        <bgColor rgb="FF7AC0E8"/>
      </patternFill>
    </fill>
    <fill>
      <patternFill patternType="solid">
        <fgColor rgb="FF7AC0E8"/>
        <bgColor rgb="FF8CC8EB"/>
      </patternFill>
    </fill>
    <fill>
      <patternFill patternType="solid">
        <fgColor rgb="FF68B8E5"/>
        <bgColor rgb="FF7AC0E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63BE7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D8F1"/>
      <rgbColor rgb="FF888888"/>
      <rgbColor rgb="FF7AC0E8"/>
      <rgbColor rgb="FF993366"/>
      <rgbColor rgb="FFF9F9F9"/>
      <rgbColor rgb="FFD4E8F7"/>
      <rgbColor rgb="FF660066"/>
      <rgbColor rgb="FFF8696B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0FA"/>
      <rgbColor rgb="FFC2E0F4"/>
      <rgbColor rgb="FFFFEB84"/>
      <rgbColor rgb="FF9ED0EE"/>
      <rgbColor rgb="FFFF99CC"/>
      <rgbColor rgb="FF8CC8EB"/>
      <rgbColor rgb="FFFFCC99"/>
      <rgbColor rgb="FF3366FF"/>
      <rgbColor rgb="FF68B8E5"/>
      <rgbColor rgb="FF99CC00"/>
      <rgbColor rgb="FFFFCC00"/>
      <rgbColor rgb="FFFF9900"/>
      <rgbColor rgb="FFFF6600"/>
      <rgbColor rgb="FF666666"/>
      <rgbColor rgb="FF999999"/>
      <rgbColor rgb="FF003366"/>
      <rgbColor rgb="FF63BE7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35"/>
    <col collapsed="false" customWidth="true" hidden="false" outlineLevel="0" max="4" min="4" style="0" width="28"/>
    <col collapsed="false" customWidth="true" hidden="false" outlineLevel="0" max="6" min="5" style="0" width="22"/>
    <col collapsed="false" customWidth="true" hidden="false" outlineLevel="0" max="7" min="7" style="0" width="15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24.75" hidden="false" customHeight="true" outlineLevel="0" collapsed="false">
      <c r="B3" s="2" t="s">
        <v>1</v>
      </c>
      <c r="C3" s="2"/>
      <c r="D3" s="2"/>
      <c r="E3" s="2"/>
      <c r="F3" s="2"/>
      <c r="G3" s="2"/>
    </row>
    <row r="5" customFormat="false" ht="24.75" hidden="false" customHeight="true" outlineLevel="0" collapsed="false">
      <c r="B5" s="3" t="s">
        <v>2</v>
      </c>
    </row>
    <row r="6" customFormat="false" ht="31.5" hidden="false" customHeight="true" outlineLevel="0" collapsed="false">
      <c r="B6" s="4" t="s">
        <v>3</v>
      </c>
      <c r="C6" s="4" t="s">
        <v>4</v>
      </c>
      <c r="D6" s="4" t="s">
        <v>5</v>
      </c>
    </row>
    <row r="7" customFormat="false" ht="31.5" hidden="false" customHeight="true" outlineLevel="0" collapsed="false">
      <c r="B7" s="5" t="s">
        <v>6</v>
      </c>
      <c r="C7" s="6" t="s">
        <v>7</v>
      </c>
      <c r="D7" s="7" t="s">
        <v>8</v>
      </c>
    </row>
    <row r="8" customFormat="false" ht="31.5" hidden="false" customHeight="true" outlineLevel="0" collapsed="false">
      <c r="B8" s="8" t="s">
        <v>9</v>
      </c>
      <c r="C8" s="6" t="s">
        <v>10</v>
      </c>
      <c r="D8" s="9" t="s">
        <v>11</v>
      </c>
    </row>
    <row r="9" customFormat="false" ht="31.5" hidden="false" customHeight="true" outlineLevel="0" collapsed="false">
      <c r="B9" s="5" t="s">
        <v>12</v>
      </c>
      <c r="C9" s="6" t="s">
        <v>13</v>
      </c>
      <c r="D9" s="7" t="s">
        <v>14</v>
      </c>
    </row>
    <row r="10" customFormat="false" ht="31.5" hidden="false" customHeight="true" outlineLevel="0" collapsed="false">
      <c r="B10" s="8" t="s">
        <v>15</v>
      </c>
      <c r="C10" s="6" t="s">
        <v>16</v>
      </c>
      <c r="D10" s="9" t="s">
        <v>17</v>
      </c>
    </row>
    <row r="11" customFormat="false" ht="31.5" hidden="false" customHeight="true" outlineLevel="0" collapsed="false">
      <c r="B11" s="5" t="s">
        <v>18</v>
      </c>
      <c r="C11" s="6" t="s">
        <v>19</v>
      </c>
      <c r="D11" s="7" t="s">
        <v>20</v>
      </c>
    </row>
    <row r="12" customFormat="false" ht="31.5" hidden="false" customHeight="true" outlineLevel="0" collapsed="false">
      <c r="B12" s="8" t="s">
        <v>21</v>
      </c>
      <c r="C12" s="6" t="s">
        <v>22</v>
      </c>
      <c r="D12" s="9" t="s">
        <v>23</v>
      </c>
    </row>
    <row r="13" customFormat="false" ht="31.5" hidden="false" customHeight="true" outlineLevel="0" collapsed="false">
      <c r="B13" s="5" t="s">
        <v>24</v>
      </c>
      <c r="C13" s="6" t="s">
        <v>25</v>
      </c>
      <c r="D13" s="7" t="s">
        <v>26</v>
      </c>
    </row>
    <row r="14" customFormat="false" ht="31.5" hidden="false" customHeight="true" outlineLevel="0" collapsed="false">
      <c r="B14" s="8" t="s">
        <v>27</v>
      </c>
      <c r="C14" s="6" t="s">
        <v>28</v>
      </c>
      <c r="D14" s="9" t="s">
        <v>29</v>
      </c>
    </row>
    <row r="15" customFormat="false" ht="31.5" hidden="false" customHeight="true" outlineLevel="0" collapsed="false">
      <c r="B15" s="5" t="s">
        <v>30</v>
      </c>
      <c r="C15" s="6" t="s">
        <v>31</v>
      </c>
      <c r="D15" s="7" t="s">
        <v>32</v>
      </c>
    </row>
    <row r="17" customFormat="false" ht="15" hidden="false" customHeight="false" outlineLevel="0" collapsed="false">
      <c r="B17" s="3" t="s">
        <v>33</v>
      </c>
    </row>
    <row r="18" customFormat="false" ht="15" hidden="false" customHeight="false" outlineLevel="0" collapsed="false">
      <c r="B18" s="10" t="s">
        <v>34</v>
      </c>
      <c r="C18" s="11" t="s">
        <v>35</v>
      </c>
      <c r="D18" s="11"/>
      <c r="E18" s="11"/>
      <c r="F18" s="11"/>
      <c r="G18" s="11"/>
    </row>
    <row r="19" customFormat="false" ht="21.75" hidden="false" customHeight="true" outlineLevel="0" collapsed="false">
      <c r="B19" s="12" t="s">
        <v>36</v>
      </c>
      <c r="C19" s="13" t="s">
        <v>37</v>
      </c>
      <c r="D19" s="13"/>
      <c r="E19" s="13"/>
      <c r="F19" s="13"/>
      <c r="G19" s="13"/>
    </row>
    <row r="20" customFormat="false" ht="21.75" hidden="false" customHeight="true" outlineLevel="0" collapsed="false">
      <c r="B20" s="12" t="s">
        <v>38</v>
      </c>
      <c r="C20" s="13" t="s">
        <v>39</v>
      </c>
      <c r="D20" s="13"/>
      <c r="E20" s="13"/>
      <c r="F20" s="13"/>
      <c r="G20" s="13"/>
    </row>
    <row r="21" customFormat="false" ht="21.75" hidden="false" customHeight="true" outlineLevel="0" collapsed="false">
      <c r="B21" s="12" t="s">
        <v>40</v>
      </c>
      <c r="C21" s="13" t="s">
        <v>41</v>
      </c>
      <c r="D21" s="13"/>
      <c r="E21" s="13"/>
      <c r="F21" s="13"/>
      <c r="G21" s="13"/>
    </row>
    <row r="22" customFormat="false" ht="21.75" hidden="false" customHeight="true" outlineLevel="0" collapsed="false">
      <c r="B22" s="12" t="s">
        <v>42</v>
      </c>
      <c r="C22" s="13" t="s">
        <v>43</v>
      </c>
      <c r="D22" s="13"/>
      <c r="E22" s="13"/>
      <c r="F22" s="13"/>
      <c r="G22" s="13"/>
    </row>
    <row r="23" customFormat="false" ht="21.75" hidden="false" customHeight="true" outlineLevel="0" collapsed="false">
      <c r="B23" s="12" t="s">
        <v>44</v>
      </c>
      <c r="C23" s="13" t="s">
        <v>45</v>
      </c>
      <c r="D23" s="13"/>
      <c r="E23" s="13"/>
      <c r="F23" s="13"/>
      <c r="G23" s="13"/>
    </row>
    <row r="24" customFormat="false" ht="21.75" hidden="false" customHeight="true" outlineLevel="0" collapsed="false">
      <c r="B24" s="12" t="s">
        <v>46</v>
      </c>
      <c r="C24" s="13" t="s">
        <v>47</v>
      </c>
      <c r="D24" s="13"/>
      <c r="E24" s="13"/>
      <c r="F24" s="13"/>
      <c r="G24" s="13"/>
    </row>
    <row r="25" customFormat="false" ht="21.75" hidden="false" customHeight="true" outlineLevel="0" collapsed="false">
      <c r="B25" s="12" t="s">
        <v>48</v>
      </c>
      <c r="C25" s="13" t="s">
        <v>49</v>
      </c>
      <c r="D25" s="13"/>
      <c r="E25" s="13"/>
      <c r="F25" s="13"/>
      <c r="G25" s="13"/>
    </row>
    <row r="27" customFormat="false" ht="15" hidden="false" customHeight="false" outlineLevel="0" collapsed="false">
      <c r="B27" s="3" t="s">
        <v>50</v>
      </c>
    </row>
    <row r="28" customFormat="false" ht="15" hidden="false" customHeight="true" outlineLevel="0" collapsed="false">
      <c r="B28" s="14" t="s">
        <v>51</v>
      </c>
      <c r="C28" s="14"/>
      <c r="D28" s="14"/>
      <c r="E28" s="14"/>
      <c r="F28" s="14"/>
      <c r="G28" s="14"/>
    </row>
    <row r="29" customFormat="false" ht="15" hidden="false" customHeight="true" outlineLevel="0" collapsed="false">
      <c r="B29" s="14" t="s">
        <v>52</v>
      </c>
      <c r="C29" s="14"/>
      <c r="D29" s="14"/>
      <c r="E29" s="14"/>
      <c r="F29" s="14"/>
      <c r="G29" s="14"/>
    </row>
    <row r="30" customFormat="false" ht="15" hidden="false" customHeight="true" outlineLevel="0" collapsed="false">
      <c r="B30" s="14" t="s">
        <v>53</v>
      </c>
      <c r="C30" s="14"/>
      <c r="D30" s="14"/>
      <c r="E30" s="14"/>
      <c r="F30" s="14"/>
      <c r="G30" s="14"/>
    </row>
  </sheetData>
  <mergeCells count="13">
    <mergeCell ref="B2:G2"/>
    <mergeCell ref="B3:G3"/>
    <mergeCell ref="C18:G18"/>
    <mergeCell ref="C19:G19"/>
    <mergeCell ref="C20:G20"/>
    <mergeCell ref="C21:G21"/>
    <mergeCell ref="C22:G22"/>
    <mergeCell ref="C23:G23"/>
    <mergeCell ref="C24:G24"/>
    <mergeCell ref="C25:G25"/>
    <mergeCell ref="B28:G28"/>
    <mergeCell ref="B29:G29"/>
    <mergeCell ref="B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50"/>
    <col collapsed="false" customWidth="true" hidden="false" outlineLevel="0" max="6" min="4" style="0" width="22"/>
  </cols>
  <sheetData>
    <row r="2" customFormat="false" ht="34.5" hidden="false" customHeight="true" outlineLevel="0" collapsed="false">
      <c r="B2" s="15" t="s">
        <v>36</v>
      </c>
      <c r="C2" s="15"/>
      <c r="D2" s="15"/>
      <c r="E2" s="15"/>
      <c r="F2" s="15"/>
    </row>
    <row r="4" customFormat="false" ht="24.75" hidden="false" customHeight="true" outlineLevel="0" collapsed="false">
      <c r="B4" s="3" t="s">
        <v>54</v>
      </c>
    </row>
    <row r="5" customFormat="false" ht="15" hidden="false" customHeight="false" outlineLevel="0" collapsed="false">
      <c r="B5" s="16" t="s">
        <v>55</v>
      </c>
      <c r="C5" s="16" t="s">
        <v>56</v>
      </c>
      <c r="D5" s="16" t="s">
        <v>57</v>
      </c>
      <c r="E5" s="16" t="s">
        <v>58</v>
      </c>
      <c r="F5" s="16" t="s">
        <v>59</v>
      </c>
    </row>
    <row r="6" customFormat="false" ht="30" hidden="false" customHeight="true" outlineLevel="0" collapsed="false">
      <c r="B6" s="9" t="s">
        <v>60</v>
      </c>
      <c r="C6" s="9" t="s">
        <v>61</v>
      </c>
      <c r="D6" s="9" t="s">
        <v>62</v>
      </c>
      <c r="E6" s="9" t="s">
        <v>63</v>
      </c>
      <c r="F6" s="9" t="s">
        <v>64</v>
      </c>
    </row>
    <row r="7" customFormat="false" ht="30" hidden="false" customHeight="true" outlineLevel="0" collapsed="false">
      <c r="B7" s="7" t="s">
        <v>65</v>
      </c>
      <c r="C7" s="7" t="s">
        <v>66</v>
      </c>
      <c r="D7" s="7" t="s">
        <v>67</v>
      </c>
      <c r="E7" s="7" t="s">
        <v>63</v>
      </c>
      <c r="F7" s="7" t="s">
        <v>64</v>
      </c>
    </row>
    <row r="8" customFormat="false" ht="30" hidden="false" customHeight="true" outlineLevel="0" collapsed="false">
      <c r="B8" s="9" t="s">
        <v>68</v>
      </c>
      <c r="C8" s="9" t="s">
        <v>69</v>
      </c>
      <c r="D8" s="9" t="s">
        <v>70</v>
      </c>
      <c r="E8" s="9" t="s">
        <v>63</v>
      </c>
      <c r="F8" s="9" t="s">
        <v>64</v>
      </c>
    </row>
    <row r="9" customFormat="false" ht="30" hidden="false" customHeight="true" outlineLevel="0" collapsed="false">
      <c r="B9" s="7" t="s">
        <v>71</v>
      </c>
      <c r="C9" s="7" t="s">
        <v>72</v>
      </c>
      <c r="D9" s="7" t="s">
        <v>73</v>
      </c>
      <c r="E9" s="7" t="s">
        <v>63</v>
      </c>
      <c r="F9" s="7" t="s">
        <v>64</v>
      </c>
    </row>
    <row r="10" customFormat="false" ht="30" hidden="false" customHeight="true" outlineLevel="0" collapsed="false">
      <c r="B10" s="9" t="s">
        <v>74</v>
      </c>
      <c r="C10" s="9" t="s">
        <v>75</v>
      </c>
      <c r="D10" s="9" t="s">
        <v>76</v>
      </c>
      <c r="E10" s="9" t="s">
        <v>77</v>
      </c>
      <c r="F10" s="9" t="s">
        <v>64</v>
      </c>
    </row>
    <row r="11" customFormat="false" ht="30" hidden="false" customHeight="true" outlineLevel="0" collapsed="false">
      <c r="B11" s="7" t="s">
        <v>78</v>
      </c>
      <c r="C11" s="7" t="s">
        <v>79</v>
      </c>
      <c r="D11" s="7" t="s">
        <v>80</v>
      </c>
      <c r="E11" s="7" t="s">
        <v>81</v>
      </c>
      <c r="F11" s="7" t="s">
        <v>82</v>
      </c>
    </row>
    <row r="12" customFormat="false" ht="30" hidden="false" customHeight="true" outlineLevel="0" collapsed="false">
      <c r="B12" s="9" t="s">
        <v>83</v>
      </c>
      <c r="C12" s="9" t="s">
        <v>84</v>
      </c>
      <c r="D12" s="9" t="s">
        <v>85</v>
      </c>
      <c r="E12" s="9" t="s">
        <v>81</v>
      </c>
      <c r="F12" s="9" t="s">
        <v>82</v>
      </c>
    </row>
    <row r="13" customFormat="false" ht="30" hidden="false" customHeight="true" outlineLevel="0" collapsed="false">
      <c r="B13" s="7" t="s">
        <v>86</v>
      </c>
      <c r="C13" s="7" t="s">
        <v>87</v>
      </c>
      <c r="D13" s="7" t="s">
        <v>88</v>
      </c>
      <c r="E13" s="7" t="s">
        <v>81</v>
      </c>
      <c r="F13" s="7" t="s">
        <v>82</v>
      </c>
    </row>
    <row r="15" customFormat="false" ht="15" hidden="false" customHeight="false" outlineLevel="0" collapsed="false">
      <c r="B15" s="3" t="s">
        <v>89</v>
      </c>
    </row>
    <row r="16" customFormat="false" ht="15" hidden="false" customHeight="false" outlineLevel="0" collapsed="false">
      <c r="B16" s="10" t="s">
        <v>90</v>
      </c>
      <c r="D16" s="11" t="s">
        <v>91</v>
      </c>
      <c r="E16" s="11"/>
      <c r="F16" s="11"/>
    </row>
    <row r="17" customFormat="false" ht="24.75" hidden="false" customHeight="true" outlineLevel="0" collapsed="false">
      <c r="B17" s="7" t="s">
        <v>92</v>
      </c>
      <c r="D17" s="17" t="s">
        <v>93</v>
      </c>
      <c r="E17" s="17"/>
      <c r="F17" s="17"/>
    </row>
    <row r="18" customFormat="false" ht="24.75" hidden="false" customHeight="true" outlineLevel="0" collapsed="false">
      <c r="B18" s="9" t="s">
        <v>94</v>
      </c>
      <c r="D18" s="18" t="s">
        <v>95</v>
      </c>
      <c r="E18" s="18"/>
      <c r="F18" s="18"/>
    </row>
    <row r="19" customFormat="false" ht="24.75" hidden="false" customHeight="true" outlineLevel="0" collapsed="false">
      <c r="B19" s="7" t="s">
        <v>96</v>
      </c>
      <c r="D19" s="17" t="s">
        <v>97</v>
      </c>
      <c r="E19" s="17"/>
      <c r="F19" s="17"/>
    </row>
    <row r="20" customFormat="false" ht="24.75" hidden="false" customHeight="true" outlineLevel="0" collapsed="false">
      <c r="B20" s="9" t="s">
        <v>98</v>
      </c>
      <c r="D20" s="18" t="s">
        <v>99</v>
      </c>
      <c r="E20" s="18"/>
      <c r="F20" s="18"/>
    </row>
    <row r="21" customFormat="false" ht="24.75" hidden="false" customHeight="true" outlineLevel="0" collapsed="false">
      <c r="B21" s="7" t="s">
        <v>100</v>
      </c>
      <c r="D21" s="17" t="s">
        <v>101</v>
      </c>
      <c r="E21" s="17"/>
      <c r="F21" s="17"/>
    </row>
    <row r="22" customFormat="false" ht="24.75" hidden="false" customHeight="true" outlineLevel="0" collapsed="false">
      <c r="B22" s="9" t="s">
        <v>102</v>
      </c>
      <c r="D22" s="18" t="s">
        <v>103</v>
      </c>
      <c r="E22" s="18"/>
      <c r="F22" s="18"/>
    </row>
    <row r="23" customFormat="false" ht="24.75" hidden="false" customHeight="true" outlineLevel="0" collapsed="false">
      <c r="B23" s="7" t="s">
        <v>104</v>
      </c>
      <c r="D23" s="17" t="s">
        <v>105</v>
      </c>
      <c r="E23" s="17"/>
      <c r="F23" s="17"/>
    </row>
    <row r="25" customFormat="false" ht="15" hidden="false" customHeight="false" outlineLevel="0" collapsed="false">
      <c r="B25" s="3" t="s">
        <v>106</v>
      </c>
    </row>
    <row r="26" customFormat="false" ht="15" hidden="false" customHeight="false" outlineLevel="0" collapsed="false">
      <c r="B26" s="19" t="s">
        <v>107</v>
      </c>
      <c r="C26" s="19" t="s">
        <v>108</v>
      </c>
      <c r="D26" s="19" t="s">
        <v>109</v>
      </c>
      <c r="E26" s="19" t="s">
        <v>110</v>
      </c>
    </row>
    <row r="27" customFormat="false" ht="37.5" hidden="false" customHeight="true" outlineLevel="0" collapsed="false">
      <c r="B27" s="5" t="s">
        <v>111</v>
      </c>
      <c r="C27" s="6" t="s">
        <v>112</v>
      </c>
      <c r="D27" s="7" t="s">
        <v>113</v>
      </c>
      <c r="E27" s="17" t="s">
        <v>114</v>
      </c>
      <c r="F27" s="17"/>
    </row>
    <row r="28" customFormat="false" ht="37.5" hidden="false" customHeight="true" outlineLevel="0" collapsed="false">
      <c r="B28" s="8" t="s">
        <v>115</v>
      </c>
      <c r="C28" s="6" t="s">
        <v>116</v>
      </c>
      <c r="D28" s="9" t="s">
        <v>117</v>
      </c>
      <c r="E28" s="18" t="s">
        <v>118</v>
      </c>
      <c r="F28" s="18"/>
    </row>
    <row r="29" customFormat="false" ht="37.5" hidden="false" customHeight="true" outlineLevel="0" collapsed="false">
      <c r="B29" s="5" t="s">
        <v>119</v>
      </c>
      <c r="C29" s="6" t="s">
        <v>120</v>
      </c>
      <c r="D29" s="7" t="s">
        <v>121</v>
      </c>
      <c r="E29" s="17" t="s">
        <v>122</v>
      </c>
      <c r="F29" s="17"/>
    </row>
    <row r="30" customFormat="false" ht="37.5" hidden="false" customHeight="true" outlineLevel="0" collapsed="false">
      <c r="B30" s="8" t="s">
        <v>123</v>
      </c>
      <c r="C30" s="6" t="s">
        <v>124</v>
      </c>
      <c r="D30" s="9" t="s">
        <v>125</v>
      </c>
      <c r="E30" s="18" t="s">
        <v>126</v>
      </c>
      <c r="F30" s="18"/>
    </row>
    <row r="31" customFormat="false" ht="37.5" hidden="false" customHeight="true" outlineLevel="0" collapsed="false">
      <c r="B31" s="5" t="s">
        <v>15</v>
      </c>
      <c r="C31" s="6" t="s">
        <v>127</v>
      </c>
      <c r="D31" s="7" t="s">
        <v>128</v>
      </c>
      <c r="E31" s="17" t="s">
        <v>129</v>
      </c>
      <c r="F31" s="17"/>
    </row>
    <row r="32" customFormat="false" ht="37.5" hidden="false" customHeight="true" outlineLevel="0" collapsed="false">
      <c r="B32" s="8" t="s">
        <v>130</v>
      </c>
      <c r="C32" s="6" t="s">
        <v>131</v>
      </c>
      <c r="D32" s="9" t="s">
        <v>132</v>
      </c>
      <c r="E32" s="18" t="s">
        <v>133</v>
      </c>
      <c r="F32" s="18"/>
    </row>
    <row r="33" customFormat="false" ht="37.5" hidden="false" customHeight="true" outlineLevel="0" collapsed="false">
      <c r="B33" s="5" t="s">
        <v>30</v>
      </c>
      <c r="C33" s="6" t="s">
        <v>134</v>
      </c>
      <c r="D33" s="7" t="s">
        <v>135</v>
      </c>
      <c r="E33" s="17" t="s">
        <v>136</v>
      </c>
      <c r="F33" s="17"/>
    </row>
    <row r="34" customFormat="false" ht="37.5" hidden="false" customHeight="true" outlineLevel="0" collapsed="false">
      <c r="B34" s="8" t="s">
        <v>137</v>
      </c>
      <c r="C34" s="6" t="s">
        <v>138</v>
      </c>
      <c r="D34" s="9" t="s">
        <v>139</v>
      </c>
      <c r="E34" s="18" t="s">
        <v>140</v>
      </c>
      <c r="F34" s="18"/>
    </row>
  </sheetData>
  <mergeCells count="17">
    <mergeCell ref="B2:F2"/>
    <mergeCell ref="D16:F16"/>
    <mergeCell ref="D17:F17"/>
    <mergeCell ref="D18:F18"/>
    <mergeCell ref="D19:F19"/>
    <mergeCell ref="D20:F20"/>
    <mergeCell ref="D21:F21"/>
    <mergeCell ref="D22:F22"/>
    <mergeCell ref="D23:F23"/>
    <mergeCell ref="E27:F27"/>
    <mergeCell ref="E28:F28"/>
    <mergeCell ref="E29:F29"/>
    <mergeCell ref="E30:F30"/>
    <mergeCell ref="E31:F31"/>
    <mergeCell ref="E32:F32"/>
    <mergeCell ref="E33:F33"/>
    <mergeCell ref="E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28"/>
    <col collapsed="false" customWidth="true" hidden="false" outlineLevel="0" max="4" min="4" style="0" width="45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14"/>
  </cols>
  <sheetData>
    <row r="2" customFormat="false" ht="30" hidden="false" customHeight="true" outlineLevel="0" collapsed="false">
      <c r="B2" s="20" t="s">
        <v>141</v>
      </c>
      <c r="C2" s="20"/>
      <c r="D2" s="20"/>
      <c r="E2" s="20"/>
      <c r="F2" s="20"/>
      <c r="G2" s="20"/>
      <c r="H2" s="20"/>
      <c r="I2" s="20"/>
    </row>
    <row r="3" customFormat="false" ht="21.75" hidden="false" customHeight="true" outlineLevel="0" collapsed="false">
      <c r="B3" s="21" t="s">
        <v>142</v>
      </c>
      <c r="C3" s="21"/>
      <c r="D3" s="21"/>
      <c r="E3" s="21"/>
      <c r="F3" s="21"/>
      <c r="G3" s="21"/>
      <c r="H3" s="21"/>
      <c r="I3" s="21"/>
    </row>
    <row r="5" customFormat="false" ht="21.75" hidden="false" customHeight="true" outlineLevel="0" collapsed="false">
      <c r="B5" s="19" t="s">
        <v>143</v>
      </c>
      <c r="C5" s="19" t="s">
        <v>144</v>
      </c>
      <c r="D5" s="19" t="s">
        <v>145</v>
      </c>
      <c r="E5" s="19" t="s">
        <v>146</v>
      </c>
      <c r="F5" s="19" t="s">
        <v>147</v>
      </c>
      <c r="G5" s="19" t="s">
        <v>148</v>
      </c>
      <c r="H5" s="19" t="s">
        <v>149</v>
      </c>
      <c r="I5" s="19" t="s">
        <v>150</v>
      </c>
    </row>
    <row r="6" customFormat="false" ht="37.5" hidden="false" customHeight="true" outlineLevel="0" collapsed="false">
      <c r="B6" s="9" t="s">
        <v>151</v>
      </c>
      <c r="C6" s="9" t="s">
        <v>152</v>
      </c>
      <c r="D6" s="9" t="s">
        <v>153</v>
      </c>
      <c r="E6" s="22" t="n">
        <v>1</v>
      </c>
      <c r="F6" s="22" t="n">
        <v>16</v>
      </c>
      <c r="G6" s="9" t="s">
        <v>154</v>
      </c>
      <c r="H6" s="9" t="s">
        <v>155</v>
      </c>
      <c r="I6" s="23" t="s">
        <v>156</v>
      </c>
    </row>
    <row r="7" customFormat="false" ht="37.5" hidden="false" customHeight="true" outlineLevel="0" collapsed="false">
      <c r="B7" s="7" t="s">
        <v>157</v>
      </c>
      <c r="C7" s="7" t="s">
        <v>158</v>
      </c>
      <c r="D7" s="7" t="s">
        <v>159</v>
      </c>
      <c r="E7" s="24" t="n">
        <v>1</v>
      </c>
      <c r="F7" s="24" t="n">
        <v>20</v>
      </c>
      <c r="G7" s="7" t="s">
        <v>154</v>
      </c>
      <c r="H7" s="7" t="s">
        <v>151</v>
      </c>
      <c r="I7" s="25" t="s">
        <v>156</v>
      </c>
    </row>
    <row r="8" customFormat="false" ht="37.5" hidden="false" customHeight="true" outlineLevel="0" collapsed="false">
      <c r="B8" s="9" t="s">
        <v>160</v>
      </c>
      <c r="C8" s="9" t="s">
        <v>161</v>
      </c>
      <c r="D8" s="9" t="s">
        <v>162</v>
      </c>
      <c r="E8" s="22" t="n">
        <v>2</v>
      </c>
      <c r="F8" s="22" t="n">
        <v>16</v>
      </c>
      <c r="G8" s="9" t="s">
        <v>163</v>
      </c>
      <c r="H8" s="9" t="s">
        <v>151</v>
      </c>
      <c r="I8" s="23" t="s">
        <v>156</v>
      </c>
    </row>
    <row r="9" customFormat="false" ht="37.5" hidden="false" customHeight="true" outlineLevel="0" collapsed="false">
      <c r="B9" s="7" t="s">
        <v>164</v>
      </c>
      <c r="C9" s="7" t="s">
        <v>165</v>
      </c>
      <c r="D9" s="7" t="s">
        <v>166</v>
      </c>
      <c r="E9" s="24" t="n">
        <v>2</v>
      </c>
      <c r="F9" s="24" t="n">
        <v>20</v>
      </c>
      <c r="G9" s="7" t="s">
        <v>167</v>
      </c>
      <c r="H9" s="7" t="s">
        <v>160</v>
      </c>
      <c r="I9" s="25" t="s">
        <v>156</v>
      </c>
    </row>
    <row r="10" customFormat="false" ht="37.5" hidden="false" customHeight="true" outlineLevel="0" collapsed="false">
      <c r="B10" s="9" t="s">
        <v>168</v>
      </c>
      <c r="C10" s="9" t="s">
        <v>169</v>
      </c>
      <c r="D10" s="9" t="s">
        <v>170</v>
      </c>
      <c r="E10" s="22" t="n">
        <v>3</v>
      </c>
      <c r="F10" s="22" t="n">
        <v>16</v>
      </c>
      <c r="G10" s="9" t="s">
        <v>163</v>
      </c>
      <c r="H10" s="9" t="s">
        <v>157</v>
      </c>
      <c r="I10" s="23" t="s">
        <v>156</v>
      </c>
    </row>
    <row r="11" customFormat="false" ht="37.5" hidden="false" customHeight="true" outlineLevel="0" collapsed="false">
      <c r="B11" s="7" t="s">
        <v>171</v>
      </c>
      <c r="C11" s="7" t="s">
        <v>172</v>
      </c>
      <c r="D11" s="7" t="s">
        <v>173</v>
      </c>
      <c r="E11" s="24" t="n">
        <v>3</v>
      </c>
      <c r="F11" s="24" t="n">
        <v>20</v>
      </c>
      <c r="G11" s="7" t="s">
        <v>167</v>
      </c>
      <c r="H11" s="7" t="s">
        <v>168</v>
      </c>
      <c r="I11" s="25" t="s">
        <v>156</v>
      </c>
    </row>
    <row r="12" customFormat="false" ht="37.5" hidden="false" customHeight="true" outlineLevel="0" collapsed="false">
      <c r="B12" s="9" t="s">
        <v>174</v>
      </c>
      <c r="C12" s="9" t="s">
        <v>175</v>
      </c>
      <c r="D12" s="9" t="s">
        <v>176</v>
      </c>
      <c r="E12" s="22" t="n">
        <v>4</v>
      </c>
      <c r="F12" s="22" t="n">
        <v>24</v>
      </c>
      <c r="G12" s="9" t="s">
        <v>177</v>
      </c>
      <c r="H12" s="9" t="s">
        <v>178</v>
      </c>
      <c r="I12" s="23" t="s">
        <v>156</v>
      </c>
    </row>
    <row r="13" customFormat="false" ht="37.5" hidden="false" customHeight="true" outlineLevel="0" collapsed="false">
      <c r="B13" s="7" t="s">
        <v>179</v>
      </c>
      <c r="C13" s="7" t="s">
        <v>180</v>
      </c>
      <c r="D13" s="7" t="s">
        <v>181</v>
      </c>
      <c r="E13" s="24" t="n">
        <v>4</v>
      </c>
      <c r="F13" s="24" t="n">
        <v>20</v>
      </c>
      <c r="G13" s="7" t="s">
        <v>177</v>
      </c>
      <c r="H13" s="7" t="s">
        <v>182</v>
      </c>
      <c r="I13" s="25" t="s">
        <v>156</v>
      </c>
    </row>
    <row r="14" customFormat="false" ht="37.5" hidden="false" customHeight="true" outlineLevel="0" collapsed="false">
      <c r="B14" s="9" t="s">
        <v>183</v>
      </c>
      <c r="C14" s="9" t="s">
        <v>184</v>
      </c>
      <c r="D14" s="9" t="s">
        <v>185</v>
      </c>
      <c r="E14" s="22" t="n">
        <v>5</v>
      </c>
      <c r="F14" s="22" t="n">
        <v>20</v>
      </c>
      <c r="G14" s="9" t="s">
        <v>167</v>
      </c>
      <c r="H14" s="9" t="s">
        <v>171</v>
      </c>
      <c r="I14" s="23" t="s">
        <v>156</v>
      </c>
    </row>
    <row r="15" customFormat="false" ht="37.5" hidden="false" customHeight="true" outlineLevel="0" collapsed="false">
      <c r="B15" s="7" t="s">
        <v>186</v>
      </c>
      <c r="C15" s="7" t="s">
        <v>187</v>
      </c>
      <c r="D15" s="7" t="s">
        <v>188</v>
      </c>
      <c r="E15" s="24" t="n">
        <v>5</v>
      </c>
      <c r="F15" s="24" t="n">
        <v>20</v>
      </c>
      <c r="G15" s="7" t="s">
        <v>167</v>
      </c>
      <c r="H15" s="7" t="s">
        <v>189</v>
      </c>
      <c r="I15" s="25" t="s">
        <v>156</v>
      </c>
    </row>
    <row r="16" customFormat="false" ht="37.5" hidden="false" customHeight="true" outlineLevel="0" collapsed="false">
      <c r="B16" s="9" t="s">
        <v>190</v>
      </c>
      <c r="C16" s="9" t="s">
        <v>191</v>
      </c>
      <c r="D16" s="9" t="s">
        <v>192</v>
      </c>
      <c r="E16" s="22" t="n">
        <v>6</v>
      </c>
      <c r="F16" s="22" t="n">
        <v>16</v>
      </c>
      <c r="G16" s="9" t="s">
        <v>177</v>
      </c>
      <c r="H16" s="9" t="s">
        <v>193</v>
      </c>
      <c r="I16" s="23" t="s">
        <v>156</v>
      </c>
    </row>
    <row r="17" customFormat="false" ht="37.5" hidden="false" customHeight="true" outlineLevel="0" collapsed="false">
      <c r="B17" s="7" t="s">
        <v>194</v>
      </c>
      <c r="C17" s="7" t="s">
        <v>195</v>
      </c>
      <c r="D17" s="7" t="s">
        <v>196</v>
      </c>
      <c r="E17" s="24" t="n">
        <v>6</v>
      </c>
      <c r="F17" s="24" t="n">
        <v>12</v>
      </c>
      <c r="G17" s="7" t="s">
        <v>163</v>
      </c>
      <c r="H17" s="7" t="s">
        <v>197</v>
      </c>
      <c r="I17" s="25" t="s">
        <v>156</v>
      </c>
    </row>
    <row r="18" customFormat="false" ht="37.5" hidden="false" customHeight="true" outlineLevel="0" collapsed="false">
      <c r="B18" s="9" t="s">
        <v>198</v>
      </c>
      <c r="C18" s="9" t="s">
        <v>199</v>
      </c>
      <c r="D18" s="9" t="s">
        <v>200</v>
      </c>
      <c r="E18" s="22" t="n">
        <v>7</v>
      </c>
      <c r="F18" s="22" t="n">
        <v>16</v>
      </c>
      <c r="G18" s="9" t="s">
        <v>167</v>
      </c>
      <c r="H18" s="9" t="s">
        <v>157</v>
      </c>
      <c r="I18" s="23" t="s">
        <v>156</v>
      </c>
    </row>
    <row r="19" customFormat="false" ht="37.5" hidden="false" customHeight="true" outlineLevel="0" collapsed="false">
      <c r="B19" s="7" t="s">
        <v>201</v>
      </c>
      <c r="C19" s="7" t="s">
        <v>202</v>
      </c>
      <c r="D19" s="7" t="s">
        <v>203</v>
      </c>
      <c r="E19" s="24" t="n">
        <v>7</v>
      </c>
      <c r="F19" s="24" t="n">
        <v>20</v>
      </c>
      <c r="G19" s="7" t="s">
        <v>204</v>
      </c>
      <c r="H19" s="7" t="s">
        <v>205</v>
      </c>
      <c r="I19" s="25" t="s">
        <v>156</v>
      </c>
    </row>
    <row r="20" customFormat="false" ht="37.5" hidden="false" customHeight="true" outlineLevel="0" collapsed="false">
      <c r="B20" s="9" t="s">
        <v>206</v>
      </c>
      <c r="C20" s="9" t="s">
        <v>207</v>
      </c>
      <c r="D20" s="9" t="s">
        <v>208</v>
      </c>
      <c r="E20" s="22" t="n">
        <v>8</v>
      </c>
      <c r="F20" s="22" t="n">
        <v>20</v>
      </c>
      <c r="G20" s="9" t="s">
        <v>154</v>
      </c>
      <c r="H20" s="9" t="s">
        <v>201</v>
      </c>
      <c r="I20" s="23" t="s">
        <v>156</v>
      </c>
    </row>
    <row r="22" customFormat="false" ht="15" hidden="false" customHeight="false" outlineLevel="0" collapsed="false">
      <c r="B22" s="3" t="s">
        <v>209</v>
      </c>
    </row>
    <row r="23" customFormat="false" ht="15" hidden="false" customHeight="false" outlineLevel="0" collapsed="false">
      <c r="B23" s="26" t="s">
        <v>210</v>
      </c>
      <c r="C23" s="27" t="n">
        <f aca="false">COUNTA(B6:B20)</f>
        <v>15</v>
      </c>
      <c r="D23" s="26" t="s">
        <v>211</v>
      </c>
      <c r="E23" s="27" t="n">
        <f aca="false">SUM(F6:F20)</f>
        <v>276</v>
      </c>
      <c r="F23" s="26" t="s">
        <v>212</v>
      </c>
      <c r="G23" s="27" t="n">
        <f aca="false">MAX(E6:E20)</f>
        <v>8</v>
      </c>
    </row>
    <row r="25" customFormat="false" ht="15" hidden="false" customHeight="false" outlineLevel="0" collapsed="false">
      <c r="B25" s="3" t="s">
        <v>213</v>
      </c>
    </row>
    <row r="26" customFormat="false" ht="15" hidden="false" customHeight="false" outlineLevel="0" collapsed="false">
      <c r="C26" s="28" t="s">
        <v>214</v>
      </c>
      <c r="D26" s="29" t="s">
        <v>215</v>
      </c>
      <c r="E26" s="30" t="s">
        <v>216</v>
      </c>
      <c r="F26" s="31" t="s">
        <v>217</v>
      </c>
      <c r="G26" s="32" t="s">
        <v>218</v>
      </c>
      <c r="H26" s="33" t="s">
        <v>219</v>
      </c>
      <c r="I26" s="34" t="s">
        <v>220</v>
      </c>
      <c r="J26" s="35" t="s">
        <v>221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28"/>
    <col collapsed="false" customWidth="true" hidden="false" outlineLevel="0" max="4" min="4" style="0" width="45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14"/>
  </cols>
  <sheetData>
    <row r="2" customFormat="false" ht="30" hidden="false" customHeight="true" outlineLevel="0" collapsed="false">
      <c r="B2" s="20" t="s">
        <v>222</v>
      </c>
      <c r="C2" s="20"/>
      <c r="D2" s="20"/>
      <c r="E2" s="20"/>
      <c r="F2" s="20"/>
      <c r="G2" s="20"/>
      <c r="H2" s="20"/>
      <c r="I2" s="20"/>
    </row>
    <row r="3" customFormat="false" ht="21.75" hidden="false" customHeight="true" outlineLevel="0" collapsed="false">
      <c r="B3" s="21" t="s">
        <v>223</v>
      </c>
      <c r="C3" s="21"/>
      <c r="D3" s="21"/>
      <c r="E3" s="21"/>
      <c r="F3" s="21"/>
      <c r="G3" s="21"/>
      <c r="H3" s="21"/>
      <c r="I3" s="21"/>
    </row>
    <row r="5" customFormat="false" ht="21.75" hidden="false" customHeight="true" outlineLevel="0" collapsed="false">
      <c r="B5" s="19" t="s">
        <v>143</v>
      </c>
      <c r="C5" s="19" t="s">
        <v>144</v>
      </c>
      <c r="D5" s="19" t="s">
        <v>145</v>
      </c>
      <c r="E5" s="19" t="s">
        <v>146</v>
      </c>
      <c r="F5" s="19" t="s">
        <v>147</v>
      </c>
      <c r="G5" s="19" t="s">
        <v>148</v>
      </c>
      <c r="H5" s="19" t="s">
        <v>149</v>
      </c>
      <c r="I5" s="19" t="s">
        <v>150</v>
      </c>
    </row>
    <row r="6" customFormat="false" ht="37.5" hidden="false" customHeight="true" outlineLevel="0" collapsed="false">
      <c r="B6" s="9" t="s">
        <v>224</v>
      </c>
      <c r="C6" s="9" t="s">
        <v>225</v>
      </c>
      <c r="D6" s="9" t="s">
        <v>226</v>
      </c>
      <c r="E6" s="22" t="n">
        <v>9</v>
      </c>
      <c r="F6" s="22" t="n">
        <v>16</v>
      </c>
      <c r="G6" s="9" t="s">
        <v>167</v>
      </c>
      <c r="H6" s="9" t="s">
        <v>183</v>
      </c>
      <c r="I6" s="9" t="s">
        <v>156</v>
      </c>
    </row>
    <row r="7" customFormat="false" ht="37.5" hidden="false" customHeight="true" outlineLevel="0" collapsed="false">
      <c r="B7" s="7" t="s">
        <v>227</v>
      </c>
      <c r="C7" s="7" t="s">
        <v>228</v>
      </c>
      <c r="D7" s="7" t="s">
        <v>229</v>
      </c>
      <c r="E7" s="24" t="n">
        <v>9</v>
      </c>
      <c r="F7" s="24" t="n">
        <v>16</v>
      </c>
      <c r="G7" s="7" t="s">
        <v>167</v>
      </c>
      <c r="H7" s="7" t="s">
        <v>224</v>
      </c>
      <c r="I7" s="7" t="s">
        <v>156</v>
      </c>
    </row>
    <row r="8" customFormat="false" ht="37.5" hidden="false" customHeight="true" outlineLevel="0" collapsed="false">
      <c r="B8" s="9" t="s">
        <v>230</v>
      </c>
      <c r="C8" s="9" t="s">
        <v>231</v>
      </c>
      <c r="D8" s="9" t="s">
        <v>232</v>
      </c>
      <c r="E8" s="22" t="n">
        <v>10</v>
      </c>
      <c r="F8" s="22" t="n">
        <v>14</v>
      </c>
      <c r="G8" s="9" t="s">
        <v>163</v>
      </c>
      <c r="H8" s="9" t="s">
        <v>194</v>
      </c>
      <c r="I8" s="9" t="s">
        <v>156</v>
      </c>
    </row>
    <row r="9" customFormat="false" ht="37.5" hidden="false" customHeight="true" outlineLevel="0" collapsed="false">
      <c r="B9" s="7" t="s">
        <v>233</v>
      </c>
      <c r="C9" s="7" t="s">
        <v>78</v>
      </c>
      <c r="D9" s="7" t="s">
        <v>234</v>
      </c>
      <c r="E9" s="24" t="n">
        <v>10</v>
      </c>
      <c r="F9" s="24" t="n">
        <v>24</v>
      </c>
      <c r="G9" s="7" t="s">
        <v>177</v>
      </c>
      <c r="H9" s="7" t="s">
        <v>235</v>
      </c>
      <c r="I9" s="7" t="s">
        <v>156</v>
      </c>
    </row>
    <row r="10" customFormat="false" ht="37.5" hidden="false" customHeight="true" outlineLevel="0" collapsed="false">
      <c r="B10" s="9" t="s">
        <v>236</v>
      </c>
      <c r="C10" s="9" t="s">
        <v>237</v>
      </c>
      <c r="D10" s="9" t="s">
        <v>238</v>
      </c>
      <c r="E10" s="22" t="n">
        <v>11</v>
      </c>
      <c r="F10" s="22" t="n">
        <v>16</v>
      </c>
      <c r="G10" s="9" t="s">
        <v>167</v>
      </c>
      <c r="H10" s="9" t="s">
        <v>233</v>
      </c>
      <c r="I10" s="9" t="s">
        <v>156</v>
      </c>
    </row>
    <row r="11" customFormat="false" ht="37.5" hidden="false" customHeight="true" outlineLevel="0" collapsed="false">
      <c r="B11" s="7" t="s">
        <v>239</v>
      </c>
      <c r="C11" s="7" t="s">
        <v>240</v>
      </c>
      <c r="D11" s="7" t="s">
        <v>241</v>
      </c>
      <c r="E11" s="24" t="n">
        <v>11</v>
      </c>
      <c r="F11" s="24" t="n">
        <v>20</v>
      </c>
      <c r="G11" s="7" t="s">
        <v>163</v>
      </c>
      <c r="H11" s="7" t="s">
        <v>224</v>
      </c>
      <c r="I11" s="7" t="s">
        <v>156</v>
      </c>
    </row>
    <row r="12" customFormat="false" ht="37.5" hidden="false" customHeight="true" outlineLevel="0" collapsed="false">
      <c r="B12" s="9" t="s">
        <v>242</v>
      </c>
      <c r="C12" s="9" t="s">
        <v>243</v>
      </c>
      <c r="D12" s="9" t="s">
        <v>244</v>
      </c>
      <c r="E12" s="22" t="n">
        <v>12</v>
      </c>
      <c r="F12" s="22" t="n">
        <v>20</v>
      </c>
      <c r="G12" s="9" t="s">
        <v>163</v>
      </c>
      <c r="H12" s="9" t="s">
        <v>239</v>
      </c>
      <c r="I12" s="9" t="s">
        <v>156</v>
      </c>
    </row>
    <row r="13" customFormat="false" ht="37.5" hidden="false" customHeight="true" outlineLevel="0" collapsed="false">
      <c r="B13" s="7" t="s">
        <v>245</v>
      </c>
      <c r="C13" s="7" t="s">
        <v>246</v>
      </c>
      <c r="D13" s="7" t="s">
        <v>247</v>
      </c>
      <c r="E13" s="24" t="n">
        <v>12</v>
      </c>
      <c r="F13" s="24" t="n">
        <v>14</v>
      </c>
      <c r="G13" s="7" t="s">
        <v>167</v>
      </c>
      <c r="H13" s="7" t="s">
        <v>224</v>
      </c>
      <c r="I13" s="7" t="s">
        <v>156</v>
      </c>
    </row>
    <row r="14" customFormat="false" ht="37.5" hidden="false" customHeight="true" outlineLevel="0" collapsed="false">
      <c r="B14" s="9" t="s">
        <v>248</v>
      </c>
      <c r="C14" s="9" t="s">
        <v>249</v>
      </c>
      <c r="D14" s="9" t="s">
        <v>250</v>
      </c>
      <c r="E14" s="22" t="n">
        <v>13</v>
      </c>
      <c r="F14" s="22" t="n">
        <v>12</v>
      </c>
      <c r="G14" s="9" t="s">
        <v>163</v>
      </c>
      <c r="H14" s="9" t="s">
        <v>227</v>
      </c>
      <c r="I14" s="9" t="s">
        <v>156</v>
      </c>
    </row>
    <row r="15" customFormat="false" ht="37.5" hidden="false" customHeight="true" outlineLevel="0" collapsed="false">
      <c r="B15" s="7" t="s">
        <v>251</v>
      </c>
      <c r="C15" s="7" t="s">
        <v>252</v>
      </c>
      <c r="D15" s="7" t="s">
        <v>253</v>
      </c>
      <c r="E15" s="24" t="n">
        <v>13</v>
      </c>
      <c r="F15" s="24" t="n">
        <v>16</v>
      </c>
      <c r="G15" s="7" t="s">
        <v>204</v>
      </c>
      <c r="H15" s="7" t="s">
        <v>254</v>
      </c>
      <c r="I15" s="7" t="s">
        <v>156</v>
      </c>
    </row>
    <row r="16" customFormat="false" ht="37.5" hidden="false" customHeight="true" outlineLevel="0" collapsed="false">
      <c r="B16" s="9" t="s">
        <v>255</v>
      </c>
      <c r="C16" s="9" t="s">
        <v>256</v>
      </c>
      <c r="D16" s="9" t="s">
        <v>257</v>
      </c>
      <c r="E16" s="22" t="n">
        <v>14</v>
      </c>
      <c r="F16" s="22" t="n">
        <v>16</v>
      </c>
      <c r="G16" s="9" t="s">
        <v>154</v>
      </c>
      <c r="H16" s="9" t="s">
        <v>251</v>
      </c>
      <c r="I16" s="9" t="s">
        <v>156</v>
      </c>
    </row>
    <row r="18" customFormat="false" ht="15" hidden="false" customHeight="false" outlineLevel="0" collapsed="false">
      <c r="B18" s="3" t="s">
        <v>258</v>
      </c>
    </row>
    <row r="19" customFormat="false" ht="15" hidden="false" customHeight="false" outlineLevel="0" collapsed="false">
      <c r="B19" s="26" t="s">
        <v>210</v>
      </c>
      <c r="C19" s="27" t="n">
        <f aca="false">COUNTA(B6:B16)</f>
        <v>11</v>
      </c>
      <c r="D19" s="26" t="s">
        <v>211</v>
      </c>
      <c r="E19" s="27" t="n">
        <f aca="false">SUM(F6:F16)</f>
        <v>184</v>
      </c>
      <c r="F19" s="26" t="s">
        <v>212</v>
      </c>
      <c r="G19" s="27" t="n">
        <f aca="false">MAX(E6:E16)</f>
        <v>14</v>
      </c>
    </row>
    <row r="21" customFormat="false" ht="15" hidden="false" customHeight="false" outlineLevel="0" collapsed="false">
      <c r="B21" s="36" t="s">
        <v>259</v>
      </c>
      <c r="C21" s="36"/>
    </row>
    <row r="22" customFormat="false" ht="15" hidden="false" customHeight="false" outlineLevel="0" collapsed="false">
      <c r="B22" s="26" t="s">
        <v>260</v>
      </c>
      <c r="C22" s="37" t="n">
        <f aca="false">COUNTA(B6:B20)+COUNTA('Phase 1 - Core MVP'!B6:B20)</f>
        <v>28</v>
      </c>
      <c r="D22" s="26" t="s">
        <v>261</v>
      </c>
      <c r="E22" s="37" t="n">
        <f aca="false">SUM(F6:F16)+SUM('Phase 1 - Core MVP'!F6:F20)</f>
        <v>460</v>
      </c>
      <c r="F22" s="26" t="s">
        <v>262</v>
      </c>
      <c r="G22" s="37" t="n">
        <f aca="false">MAX(E6:E16)+MAX('Phase 1 - Core MVP'!E6:E20)</f>
        <v>22</v>
      </c>
    </row>
  </sheetData>
  <mergeCells count="3">
    <mergeCell ref="B2:I2"/>
    <mergeCell ref="B3:I3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5" min="3" style="0" width="18"/>
    <col collapsed="false" customWidth="true" hidden="false" outlineLevel="0" max="6" min="6" style="0" width="50"/>
  </cols>
  <sheetData>
    <row r="2" customFormat="false" ht="30" hidden="false" customHeight="true" outlineLevel="0" collapsed="false">
      <c r="B2" s="20" t="s">
        <v>263</v>
      </c>
      <c r="C2" s="20"/>
      <c r="D2" s="20"/>
      <c r="E2" s="20"/>
      <c r="F2" s="20"/>
    </row>
    <row r="4" customFormat="false" ht="24.75" hidden="false" customHeight="true" outlineLevel="0" collapsed="false">
      <c r="B4" s="3" t="s">
        <v>264</v>
      </c>
    </row>
    <row r="5" customFormat="false" ht="15" hidden="false" customHeight="false" outlineLevel="0" collapsed="false">
      <c r="B5" s="19" t="s">
        <v>265</v>
      </c>
      <c r="C5" s="19" t="s">
        <v>112</v>
      </c>
      <c r="D5" s="19" t="s">
        <v>266</v>
      </c>
      <c r="E5" s="19" t="s">
        <v>267</v>
      </c>
      <c r="F5" s="19" t="s">
        <v>110</v>
      </c>
    </row>
    <row r="6" customFormat="false" ht="31.5" hidden="false" customHeight="true" outlineLevel="0" collapsed="false">
      <c r="B6" s="9" t="s">
        <v>268</v>
      </c>
      <c r="C6" s="6" t="s">
        <v>269</v>
      </c>
      <c r="D6" s="9" t="s">
        <v>270</v>
      </c>
      <c r="E6" s="9" t="s">
        <v>271</v>
      </c>
      <c r="F6" s="9" t="s">
        <v>272</v>
      </c>
    </row>
    <row r="7" customFormat="false" ht="31.5" hidden="false" customHeight="true" outlineLevel="0" collapsed="false">
      <c r="B7" s="7" t="s">
        <v>273</v>
      </c>
      <c r="C7" s="6" t="s">
        <v>116</v>
      </c>
      <c r="D7" s="7" t="s">
        <v>274</v>
      </c>
      <c r="E7" s="7" t="s">
        <v>116</v>
      </c>
      <c r="F7" s="7" t="s">
        <v>275</v>
      </c>
    </row>
    <row r="8" customFormat="false" ht="31.5" hidden="false" customHeight="true" outlineLevel="0" collapsed="false">
      <c r="B8" s="9" t="s">
        <v>276</v>
      </c>
      <c r="C8" s="6" t="s">
        <v>277</v>
      </c>
      <c r="D8" s="9" t="s">
        <v>278</v>
      </c>
      <c r="E8" s="9" t="s">
        <v>279</v>
      </c>
      <c r="F8" s="9" t="s">
        <v>280</v>
      </c>
    </row>
    <row r="9" customFormat="false" ht="31.5" hidden="false" customHeight="true" outlineLevel="0" collapsed="false">
      <c r="B9" s="7" t="s">
        <v>281</v>
      </c>
      <c r="C9" s="6" t="s">
        <v>282</v>
      </c>
      <c r="D9" s="7" t="s">
        <v>283</v>
      </c>
      <c r="E9" s="7" t="s">
        <v>282</v>
      </c>
      <c r="F9" s="7" t="s">
        <v>284</v>
      </c>
    </row>
    <row r="10" customFormat="false" ht="31.5" hidden="false" customHeight="true" outlineLevel="0" collapsed="false">
      <c r="B10" s="9" t="s">
        <v>285</v>
      </c>
      <c r="C10" s="6" t="s">
        <v>286</v>
      </c>
      <c r="D10" s="9" t="s">
        <v>287</v>
      </c>
      <c r="E10" s="9" t="s">
        <v>288</v>
      </c>
      <c r="F10" s="9" t="s">
        <v>289</v>
      </c>
    </row>
    <row r="11" customFormat="false" ht="31.5" hidden="false" customHeight="true" outlineLevel="0" collapsed="false">
      <c r="B11" s="7" t="s">
        <v>290</v>
      </c>
      <c r="C11" s="6" t="s">
        <v>291</v>
      </c>
      <c r="D11" s="7" t="s">
        <v>292</v>
      </c>
      <c r="E11" s="7" t="s">
        <v>292</v>
      </c>
      <c r="F11" s="7" t="s">
        <v>293</v>
      </c>
    </row>
    <row r="12" customFormat="false" ht="31.5" hidden="false" customHeight="true" outlineLevel="0" collapsed="false">
      <c r="B12" s="9" t="s">
        <v>294</v>
      </c>
      <c r="C12" s="6" t="s">
        <v>295</v>
      </c>
      <c r="D12" s="9" t="s">
        <v>295</v>
      </c>
      <c r="E12" s="9" t="s">
        <v>296</v>
      </c>
      <c r="F12" s="9" t="s">
        <v>297</v>
      </c>
    </row>
    <row r="13" customFormat="false" ht="31.5" hidden="false" customHeight="true" outlineLevel="0" collapsed="false">
      <c r="B13" s="7" t="s">
        <v>298</v>
      </c>
      <c r="C13" s="6" t="s">
        <v>299</v>
      </c>
      <c r="D13" s="7" t="s">
        <v>299</v>
      </c>
      <c r="E13" s="7" t="s">
        <v>300</v>
      </c>
      <c r="F13" s="7" t="s">
        <v>301</v>
      </c>
    </row>
    <row r="15" customFormat="false" ht="15" hidden="false" customHeight="false" outlineLevel="0" collapsed="false">
      <c r="B15" s="3" t="s">
        <v>302</v>
      </c>
    </row>
    <row r="16" customFormat="false" ht="15" hidden="false" customHeight="false" outlineLevel="0" collapsed="false">
      <c r="B16" s="19" t="s">
        <v>303</v>
      </c>
      <c r="C16" s="19" t="s">
        <v>304</v>
      </c>
      <c r="D16" s="19" t="s">
        <v>305</v>
      </c>
      <c r="E16" s="19" t="s">
        <v>306</v>
      </c>
    </row>
    <row r="17" customFormat="false" ht="34.5" hidden="false" customHeight="true" outlineLevel="0" collapsed="false">
      <c r="B17" s="7" t="s">
        <v>307</v>
      </c>
      <c r="C17" s="7" t="s">
        <v>308</v>
      </c>
      <c r="D17" s="7" t="s">
        <v>309</v>
      </c>
      <c r="E17" s="7" t="s">
        <v>310</v>
      </c>
    </row>
    <row r="18" customFormat="false" ht="34.5" hidden="false" customHeight="true" outlineLevel="0" collapsed="false">
      <c r="B18" s="9" t="s">
        <v>311</v>
      </c>
      <c r="C18" s="9" t="s">
        <v>312</v>
      </c>
      <c r="D18" s="9" t="s">
        <v>313</v>
      </c>
      <c r="E18" s="9" t="s">
        <v>314</v>
      </c>
    </row>
    <row r="19" customFormat="false" ht="34.5" hidden="false" customHeight="true" outlineLevel="0" collapsed="false">
      <c r="B19" s="7" t="s">
        <v>315</v>
      </c>
      <c r="C19" s="7" t="s">
        <v>120</v>
      </c>
      <c r="D19" s="7" t="s">
        <v>316</v>
      </c>
      <c r="E19" s="7" t="s">
        <v>317</v>
      </c>
    </row>
    <row r="20" customFormat="false" ht="34.5" hidden="false" customHeight="true" outlineLevel="0" collapsed="false">
      <c r="B20" s="9" t="s">
        <v>318</v>
      </c>
      <c r="C20" s="9" t="s">
        <v>120</v>
      </c>
      <c r="D20" s="9" t="s">
        <v>319</v>
      </c>
      <c r="E20" s="9" t="s">
        <v>320</v>
      </c>
    </row>
    <row r="21" customFormat="false" ht="34.5" hidden="false" customHeight="true" outlineLevel="0" collapsed="false">
      <c r="B21" s="7" t="s">
        <v>321</v>
      </c>
      <c r="C21" s="7" t="s">
        <v>322</v>
      </c>
      <c r="D21" s="7" t="s">
        <v>323</v>
      </c>
      <c r="E21" s="7" t="s">
        <v>324</v>
      </c>
    </row>
    <row r="23" customFormat="false" ht="15" hidden="false" customHeight="false" outlineLevel="0" collapsed="false">
      <c r="B23" s="3" t="s">
        <v>325</v>
      </c>
    </row>
    <row r="24" customFormat="false" ht="15" hidden="false" customHeight="false" outlineLevel="0" collapsed="false">
      <c r="B24" s="19" t="s">
        <v>326</v>
      </c>
      <c r="C24" s="19" t="s">
        <v>327</v>
      </c>
      <c r="D24" s="19" t="s">
        <v>328</v>
      </c>
      <c r="E24" s="19" t="s">
        <v>329</v>
      </c>
      <c r="F24" s="19" t="s">
        <v>330</v>
      </c>
    </row>
    <row r="25" customFormat="false" ht="24.75" hidden="false" customHeight="true" outlineLevel="0" collapsed="false">
      <c r="B25" s="7" t="s">
        <v>331</v>
      </c>
      <c r="C25" s="7" t="s">
        <v>332</v>
      </c>
      <c r="D25" s="7" t="s">
        <v>315</v>
      </c>
      <c r="E25" s="7" t="s">
        <v>333</v>
      </c>
      <c r="F25" s="7" t="s">
        <v>334</v>
      </c>
    </row>
    <row r="26" customFormat="false" ht="24.75" hidden="false" customHeight="true" outlineLevel="0" collapsed="false">
      <c r="B26" s="9" t="s">
        <v>335</v>
      </c>
      <c r="C26" s="9" t="s">
        <v>315</v>
      </c>
      <c r="D26" s="9" t="s">
        <v>336</v>
      </c>
      <c r="E26" s="9" t="s">
        <v>337</v>
      </c>
      <c r="F26" s="9" t="s">
        <v>338</v>
      </c>
    </row>
    <row r="27" customFormat="false" ht="24.75" hidden="false" customHeight="true" outlineLevel="0" collapsed="false">
      <c r="B27" s="7" t="s">
        <v>339</v>
      </c>
      <c r="C27" s="7" t="s">
        <v>336</v>
      </c>
      <c r="D27" s="7" t="s">
        <v>311</v>
      </c>
      <c r="E27" s="7" t="s">
        <v>340</v>
      </c>
      <c r="F27" s="7" t="s">
        <v>341</v>
      </c>
    </row>
    <row r="28" customFormat="false" ht="24.75" hidden="false" customHeight="true" outlineLevel="0" collapsed="false">
      <c r="B28" s="9" t="s">
        <v>342</v>
      </c>
      <c r="C28" s="9" t="s">
        <v>311</v>
      </c>
      <c r="D28" s="9" t="s">
        <v>336</v>
      </c>
      <c r="E28" s="9" t="s">
        <v>343</v>
      </c>
      <c r="F28" s="9" t="s">
        <v>344</v>
      </c>
    </row>
    <row r="29" customFormat="false" ht="24.75" hidden="false" customHeight="true" outlineLevel="0" collapsed="false">
      <c r="B29" s="7" t="s">
        <v>345</v>
      </c>
      <c r="C29" s="7" t="s">
        <v>336</v>
      </c>
      <c r="D29" s="7" t="s">
        <v>346</v>
      </c>
      <c r="E29" s="7" t="s">
        <v>347</v>
      </c>
      <c r="F29" s="7" t="s">
        <v>348</v>
      </c>
    </row>
    <row r="30" customFormat="false" ht="24.75" hidden="false" customHeight="true" outlineLevel="0" collapsed="false">
      <c r="B30" s="9" t="s">
        <v>349</v>
      </c>
      <c r="C30" s="9" t="s">
        <v>346</v>
      </c>
      <c r="D30" s="9" t="s">
        <v>336</v>
      </c>
      <c r="E30" s="9" t="s">
        <v>350</v>
      </c>
      <c r="F30" s="9" t="s">
        <v>351</v>
      </c>
    </row>
    <row r="31" customFormat="false" ht="24.75" hidden="false" customHeight="true" outlineLevel="0" collapsed="false">
      <c r="B31" s="7" t="s">
        <v>352</v>
      </c>
      <c r="C31" s="7" t="s">
        <v>336</v>
      </c>
      <c r="D31" s="7" t="s">
        <v>311</v>
      </c>
      <c r="E31" s="7" t="s">
        <v>353</v>
      </c>
      <c r="F31" s="7" t="s">
        <v>354</v>
      </c>
    </row>
    <row r="32" customFormat="false" ht="24.75" hidden="false" customHeight="true" outlineLevel="0" collapsed="false">
      <c r="B32" s="9" t="s">
        <v>355</v>
      </c>
      <c r="C32" s="9" t="s">
        <v>332</v>
      </c>
      <c r="D32" s="9" t="s">
        <v>311</v>
      </c>
      <c r="E32" s="9" t="s">
        <v>356</v>
      </c>
      <c r="F32" s="9" t="s">
        <v>357</v>
      </c>
    </row>
    <row r="33" customFormat="false" ht="24.75" hidden="false" customHeight="true" outlineLevel="0" collapsed="false">
      <c r="B33" s="7" t="s">
        <v>358</v>
      </c>
      <c r="C33" s="7" t="s">
        <v>311</v>
      </c>
      <c r="D33" s="7" t="s">
        <v>336</v>
      </c>
      <c r="E33" s="7" t="s">
        <v>359</v>
      </c>
      <c r="F33" s="7" t="s">
        <v>360</v>
      </c>
    </row>
    <row r="34" customFormat="false" ht="24.75" hidden="false" customHeight="true" outlineLevel="0" collapsed="false">
      <c r="B34" s="9" t="s">
        <v>361</v>
      </c>
      <c r="C34" s="9" t="s">
        <v>336</v>
      </c>
      <c r="D34" s="9" t="s">
        <v>315</v>
      </c>
      <c r="E34" s="9" t="s">
        <v>362</v>
      </c>
      <c r="F34" s="9" t="s">
        <v>363</v>
      </c>
    </row>
    <row r="36" customFormat="false" ht="15" hidden="false" customHeight="false" outlineLevel="0" collapsed="false">
      <c r="B36" s="3" t="s">
        <v>364</v>
      </c>
    </row>
    <row r="37" customFormat="false" ht="15" hidden="false" customHeight="false" outlineLevel="0" collapsed="false">
      <c r="B37" s="19" t="s">
        <v>365</v>
      </c>
      <c r="C37" s="19" t="s">
        <v>366</v>
      </c>
      <c r="D37" s="19" t="s">
        <v>367</v>
      </c>
      <c r="E37" s="19" t="s">
        <v>368</v>
      </c>
    </row>
    <row r="38" customFormat="false" ht="31.5" hidden="false" customHeight="true" outlineLevel="0" collapsed="false">
      <c r="B38" s="9" t="s">
        <v>369</v>
      </c>
      <c r="C38" s="9" t="s">
        <v>370</v>
      </c>
      <c r="D38" s="9" t="s">
        <v>371</v>
      </c>
      <c r="E38" s="9" t="s">
        <v>372</v>
      </c>
    </row>
    <row r="39" customFormat="false" ht="31.5" hidden="false" customHeight="true" outlineLevel="0" collapsed="false">
      <c r="B39" s="7" t="s">
        <v>373</v>
      </c>
      <c r="C39" s="7" t="s">
        <v>374</v>
      </c>
      <c r="D39" s="7" t="s">
        <v>375</v>
      </c>
      <c r="E39" s="7" t="s">
        <v>376</v>
      </c>
    </row>
    <row r="40" customFormat="false" ht="31.5" hidden="false" customHeight="true" outlineLevel="0" collapsed="false">
      <c r="B40" s="9" t="s">
        <v>377</v>
      </c>
      <c r="C40" s="9" t="s">
        <v>378</v>
      </c>
      <c r="D40" s="9" t="s">
        <v>379</v>
      </c>
      <c r="E40" s="9" t="s">
        <v>380</v>
      </c>
    </row>
    <row r="41" customFormat="false" ht="31.5" hidden="false" customHeight="true" outlineLevel="0" collapsed="false">
      <c r="B41" s="7" t="s">
        <v>381</v>
      </c>
      <c r="C41" s="7" t="s">
        <v>382</v>
      </c>
      <c r="D41" s="7" t="s">
        <v>383</v>
      </c>
      <c r="E41" s="7" t="s">
        <v>384</v>
      </c>
    </row>
    <row r="42" customFormat="false" ht="31.5" hidden="false" customHeight="true" outlineLevel="0" collapsed="false">
      <c r="B42" s="9" t="s">
        <v>385</v>
      </c>
      <c r="C42" s="9" t="s">
        <v>386</v>
      </c>
      <c r="D42" s="9" t="s">
        <v>387</v>
      </c>
      <c r="E42" s="9" t="s">
        <v>388</v>
      </c>
    </row>
    <row r="43" customFormat="false" ht="31.5" hidden="false" customHeight="true" outlineLevel="0" collapsed="false">
      <c r="B43" s="7" t="s">
        <v>389</v>
      </c>
      <c r="C43" s="7" t="s">
        <v>390</v>
      </c>
      <c r="D43" s="7" t="s">
        <v>391</v>
      </c>
      <c r="E43" s="7" t="s">
        <v>392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45"/>
    <col collapsed="false" customWidth="true" hidden="false" outlineLevel="0" max="4" min="4" style="0" width="28"/>
    <col collapsed="false" customWidth="true" hidden="false" outlineLevel="0" max="6" min="5" style="0" width="20"/>
  </cols>
  <sheetData>
    <row r="2" customFormat="false" ht="30" hidden="false" customHeight="true" outlineLevel="0" collapsed="false">
      <c r="B2" s="20" t="s">
        <v>44</v>
      </c>
      <c r="C2" s="20"/>
      <c r="D2" s="20"/>
      <c r="E2" s="20"/>
      <c r="F2" s="20"/>
    </row>
    <row r="3" customFormat="false" ht="21.75" hidden="false" customHeight="true" outlineLevel="0" collapsed="false">
      <c r="B3" s="21" t="s">
        <v>393</v>
      </c>
      <c r="C3" s="21"/>
      <c r="D3" s="21"/>
      <c r="E3" s="21"/>
      <c r="F3" s="21"/>
    </row>
    <row r="5" customFormat="false" ht="24.75" hidden="false" customHeight="true" outlineLevel="0" collapsed="false">
      <c r="B5" s="3" t="s">
        <v>394</v>
      </c>
    </row>
    <row r="6" customFormat="false" ht="15" hidden="false" customHeight="false" outlineLevel="0" collapsed="false">
      <c r="B6" s="19" t="s">
        <v>395</v>
      </c>
      <c r="C6" s="19" t="s">
        <v>396</v>
      </c>
      <c r="D6" s="19" t="s">
        <v>397</v>
      </c>
      <c r="E6" s="19" t="s">
        <v>58</v>
      </c>
      <c r="F6" s="19" t="s">
        <v>148</v>
      </c>
    </row>
    <row r="7" customFormat="false" ht="34.5" hidden="false" customHeight="true" outlineLevel="0" collapsed="false">
      <c r="B7" s="7" t="s">
        <v>398</v>
      </c>
      <c r="C7" s="7" t="s">
        <v>399</v>
      </c>
      <c r="D7" s="7" t="s">
        <v>400</v>
      </c>
      <c r="E7" s="7" t="s">
        <v>77</v>
      </c>
      <c r="F7" s="7" t="s">
        <v>154</v>
      </c>
    </row>
    <row r="8" customFormat="false" ht="34.5" hidden="false" customHeight="true" outlineLevel="0" collapsed="false">
      <c r="B8" s="9" t="s">
        <v>401</v>
      </c>
      <c r="C8" s="9" t="s">
        <v>402</v>
      </c>
      <c r="D8" s="9" t="s">
        <v>403</v>
      </c>
      <c r="E8" s="9" t="s">
        <v>77</v>
      </c>
      <c r="F8" s="9" t="s">
        <v>154</v>
      </c>
    </row>
    <row r="9" customFormat="false" ht="34.5" hidden="false" customHeight="true" outlineLevel="0" collapsed="false">
      <c r="B9" s="7" t="s">
        <v>404</v>
      </c>
      <c r="C9" s="7" t="s">
        <v>405</v>
      </c>
      <c r="D9" s="7" t="s">
        <v>406</v>
      </c>
      <c r="E9" s="7" t="s">
        <v>63</v>
      </c>
      <c r="F9" s="7" t="s">
        <v>167</v>
      </c>
    </row>
    <row r="10" customFormat="false" ht="34.5" hidden="false" customHeight="true" outlineLevel="0" collapsed="false">
      <c r="B10" s="9" t="s">
        <v>407</v>
      </c>
      <c r="C10" s="9" t="s">
        <v>408</v>
      </c>
      <c r="D10" s="9" t="s">
        <v>409</v>
      </c>
      <c r="E10" s="9" t="s">
        <v>63</v>
      </c>
      <c r="F10" s="9" t="s">
        <v>163</v>
      </c>
    </row>
    <row r="11" customFormat="false" ht="34.5" hidden="false" customHeight="true" outlineLevel="0" collapsed="false">
      <c r="B11" s="7" t="s">
        <v>410</v>
      </c>
      <c r="C11" s="7" t="s">
        <v>411</v>
      </c>
      <c r="D11" s="7" t="s">
        <v>412</v>
      </c>
      <c r="E11" s="7" t="s">
        <v>63</v>
      </c>
      <c r="F11" s="7" t="s">
        <v>413</v>
      </c>
    </row>
    <row r="12" customFormat="false" ht="34.5" hidden="false" customHeight="true" outlineLevel="0" collapsed="false">
      <c r="B12" s="9" t="s">
        <v>414</v>
      </c>
      <c r="C12" s="9" t="s">
        <v>415</v>
      </c>
      <c r="D12" s="9" t="s">
        <v>416</v>
      </c>
      <c r="E12" s="9" t="s">
        <v>63</v>
      </c>
      <c r="F12" s="9" t="s">
        <v>154</v>
      </c>
    </row>
    <row r="13" customFormat="false" ht="34.5" hidden="false" customHeight="true" outlineLevel="0" collapsed="false">
      <c r="B13" s="7" t="s">
        <v>417</v>
      </c>
      <c r="C13" s="7" t="s">
        <v>418</v>
      </c>
      <c r="D13" s="7" t="s">
        <v>419</v>
      </c>
      <c r="E13" s="7" t="s">
        <v>81</v>
      </c>
      <c r="F13" s="7" t="s">
        <v>154</v>
      </c>
    </row>
    <row r="14" customFormat="false" ht="34.5" hidden="false" customHeight="true" outlineLevel="0" collapsed="false">
      <c r="B14" s="9" t="s">
        <v>420</v>
      </c>
      <c r="C14" s="9" t="s">
        <v>421</v>
      </c>
      <c r="D14" s="9" t="s">
        <v>422</v>
      </c>
      <c r="E14" s="9" t="s">
        <v>81</v>
      </c>
      <c r="F14" s="9" t="s">
        <v>423</v>
      </c>
    </row>
    <row r="16" customFormat="false" ht="15" hidden="false" customHeight="false" outlineLevel="0" collapsed="false">
      <c r="B16" s="3" t="s">
        <v>424</v>
      </c>
    </row>
    <row r="17" customFormat="false" ht="15" hidden="false" customHeight="false" outlineLevel="0" collapsed="false">
      <c r="B17" s="19" t="s">
        <v>425</v>
      </c>
      <c r="C17" s="19" t="s">
        <v>426</v>
      </c>
      <c r="D17" s="19" t="s">
        <v>396</v>
      </c>
      <c r="E17" s="19" t="s">
        <v>427</v>
      </c>
      <c r="F17" s="19" t="s">
        <v>148</v>
      </c>
    </row>
    <row r="18" customFormat="false" ht="34.5" hidden="false" customHeight="true" outlineLevel="0" collapsed="false">
      <c r="B18" s="9" t="s">
        <v>428</v>
      </c>
      <c r="C18" s="9" t="s">
        <v>429</v>
      </c>
      <c r="D18" s="9" t="s">
        <v>430</v>
      </c>
      <c r="E18" s="9" t="s">
        <v>431</v>
      </c>
      <c r="F18" s="9" t="s">
        <v>154</v>
      </c>
    </row>
    <row r="19" customFormat="false" ht="34.5" hidden="false" customHeight="true" outlineLevel="0" collapsed="false">
      <c r="B19" s="7" t="s">
        <v>432</v>
      </c>
      <c r="C19" s="7" t="s">
        <v>433</v>
      </c>
      <c r="D19" s="7" t="s">
        <v>434</v>
      </c>
      <c r="E19" s="7" t="s">
        <v>435</v>
      </c>
      <c r="F19" s="7" t="s">
        <v>167</v>
      </c>
    </row>
    <row r="20" customFormat="false" ht="34.5" hidden="false" customHeight="true" outlineLevel="0" collapsed="false">
      <c r="B20" s="9" t="s">
        <v>436</v>
      </c>
      <c r="C20" s="9" t="s">
        <v>437</v>
      </c>
      <c r="D20" s="9" t="s">
        <v>438</v>
      </c>
      <c r="E20" s="9" t="s">
        <v>439</v>
      </c>
      <c r="F20" s="9" t="s">
        <v>163</v>
      </c>
    </row>
    <row r="21" customFormat="false" ht="34.5" hidden="false" customHeight="true" outlineLevel="0" collapsed="false">
      <c r="B21" s="7" t="s">
        <v>440</v>
      </c>
      <c r="C21" s="7" t="s">
        <v>441</v>
      </c>
      <c r="D21" s="7" t="s">
        <v>442</v>
      </c>
      <c r="E21" s="7" t="s">
        <v>443</v>
      </c>
      <c r="F21" s="7" t="s">
        <v>163</v>
      </c>
    </row>
    <row r="22" customFormat="false" ht="34.5" hidden="false" customHeight="true" outlineLevel="0" collapsed="false">
      <c r="B22" s="9" t="s">
        <v>444</v>
      </c>
      <c r="C22" s="9" t="s">
        <v>445</v>
      </c>
      <c r="D22" s="9" t="s">
        <v>446</v>
      </c>
      <c r="E22" s="9" t="s">
        <v>447</v>
      </c>
      <c r="F22" s="9" t="s">
        <v>423</v>
      </c>
    </row>
    <row r="23" customFormat="false" ht="34.5" hidden="false" customHeight="true" outlineLevel="0" collapsed="false">
      <c r="B23" s="7" t="s">
        <v>448</v>
      </c>
      <c r="C23" s="7" t="s">
        <v>449</v>
      </c>
      <c r="D23" s="7" t="s">
        <v>450</v>
      </c>
      <c r="E23" s="7" t="s">
        <v>451</v>
      </c>
      <c r="F23" s="7" t="s">
        <v>154</v>
      </c>
    </row>
    <row r="25" customFormat="false" ht="15" hidden="false" customHeight="false" outlineLevel="0" collapsed="false">
      <c r="B25" s="3" t="s">
        <v>452</v>
      </c>
    </row>
    <row r="26" customFormat="false" ht="15" hidden="false" customHeight="false" outlineLevel="0" collapsed="false">
      <c r="B26" s="19" t="s">
        <v>453</v>
      </c>
      <c r="C26" s="19" t="s">
        <v>454</v>
      </c>
      <c r="D26" s="19" t="s">
        <v>150</v>
      </c>
      <c r="E26" s="19" t="s">
        <v>455</v>
      </c>
    </row>
    <row r="27" customFormat="false" ht="27.75" hidden="false" customHeight="true" outlineLevel="0" collapsed="false">
      <c r="B27" s="7" t="s">
        <v>456</v>
      </c>
      <c r="C27" s="7" t="s">
        <v>457</v>
      </c>
      <c r="D27" s="7" t="s">
        <v>458</v>
      </c>
      <c r="E27" s="7" t="s">
        <v>459</v>
      </c>
    </row>
    <row r="28" customFormat="false" ht="27.75" hidden="false" customHeight="true" outlineLevel="0" collapsed="false">
      <c r="B28" s="9" t="s">
        <v>460</v>
      </c>
      <c r="C28" s="9" t="s">
        <v>457</v>
      </c>
      <c r="D28" s="9" t="s">
        <v>458</v>
      </c>
      <c r="E28" s="9" t="s">
        <v>461</v>
      </c>
    </row>
    <row r="29" customFormat="false" ht="27.75" hidden="false" customHeight="true" outlineLevel="0" collapsed="false">
      <c r="B29" s="7" t="s">
        <v>462</v>
      </c>
      <c r="C29" s="7" t="s">
        <v>457</v>
      </c>
      <c r="D29" s="7" t="s">
        <v>458</v>
      </c>
      <c r="E29" s="7" t="s">
        <v>463</v>
      </c>
    </row>
    <row r="30" customFormat="false" ht="27.75" hidden="false" customHeight="true" outlineLevel="0" collapsed="false">
      <c r="B30" s="9" t="s">
        <v>464</v>
      </c>
      <c r="C30" s="9" t="s">
        <v>465</v>
      </c>
      <c r="D30" s="9" t="s">
        <v>458</v>
      </c>
      <c r="E30" s="9" t="s">
        <v>466</v>
      </c>
    </row>
    <row r="31" customFormat="false" ht="27.75" hidden="false" customHeight="true" outlineLevel="0" collapsed="false">
      <c r="B31" s="7" t="s">
        <v>467</v>
      </c>
      <c r="C31" s="7" t="s">
        <v>457</v>
      </c>
      <c r="D31" s="7" t="s">
        <v>468</v>
      </c>
      <c r="E31" s="7" t="s">
        <v>469</v>
      </c>
    </row>
    <row r="32" customFormat="false" ht="27.75" hidden="false" customHeight="true" outlineLevel="0" collapsed="false">
      <c r="B32" s="9" t="s">
        <v>470</v>
      </c>
      <c r="C32" s="9" t="s">
        <v>471</v>
      </c>
      <c r="D32" s="9" t="s">
        <v>472</v>
      </c>
      <c r="E32" s="9" t="s">
        <v>473</v>
      </c>
    </row>
    <row r="33" customFormat="false" ht="27.75" hidden="false" customHeight="true" outlineLevel="0" collapsed="false">
      <c r="B33" s="7" t="s">
        <v>474</v>
      </c>
      <c r="C33" s="7" t="s">
        <v>475</v>
      </c>
      <c r="D33" s="7" t="s">
        <v>458</v>
      </c>
      <c r="E33" s="7" t="s">
        <v>476</v>
      </c>
    </row>
    <row r="34" customFormat="false" ht="27.75" hidden="false" customHeight="true" outlineLevel="0" collapsed="false">
      <c r="B34" s="9" t="s">
        <v>477</v>
      </c>
      <c r="C34" s="9" t="s">
        <v>478</v>
      </c>
      <c r="D34" s="9" t="s">
        <v>458</v>
      </c>
      <c r="E34" s="9" t="s">
        <v>479</v>
      </c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45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38"/>
    <col collapsed="false" customWidth="true" hidden="false" outlineLevel="0" max="9" min="9" style="0" width="14"/>
  </cols>
  <sheetData>
    <row r="2" customFormat="false" ht="30" hidden="false" customHeight="true" outlineLevel="0" collapsed="false">
      <c r="B2" s="20" t="s">
        <v>46</v>
      </c>
      <c r="C2" s="20"/>
      <c r="D2" s="20"/>
      <c r="E2" s="20"/>
      <c r="F2" s="20"/>
      <c r="G2" s="20"/>
      <c r="H2" s="20"/>
      <c r="I2" s="20"/>
    </row>
    <row r="3" customFormat="false" ht="21.75" hidden="false" customHeight="true" outlineLevel="0" collapsed="false">
      <c r="B3" s="21" t="s">
        <v>480</v>
      </c>
      <c r="C3" s="21"/>
      <c r="D3" s="21"/>
      <c r="E3" s="21"/>
      <c r="F3" s="21"/>
      <c r="G3" s="21"/>
      <c r="H3" s="21"/>
      <c r="I3" s="21"/>
    </row>
    <row r="5" customFormat="false" ht="21.75" hidden="false" customHeight="true" outlineLevel="0" collapsed="false">
      <c r="B5" s="19" t="s">
        <v>143</v>
      </c>
      <c r="C5" s="19" t="s">
        <v>481</v>
      </c>
      <c r="D5" s="19" t="s">
        <v>482</v>
      </c>
      <c r="E5" s="19" t="s">
        <v>483</v>
      </c>
      <c r="F5" s="19" t="s">
        <v>484</v>
      </c>
      <c r="G5" s="19" t="s">
        <v>485</v>
      </c>
      <c r="H5" s="19" t="s">
        <v>486</v>
      </c>
      <c r="I5" s="19" t="s">
        <v>148</v>
      </c>
    </row>
    <row r="6" customFormat="false" ht="37.5" hidden="false" customHeight="true" outlineLevel="0" collapsed="false">
      <c r="B6" s="9" t="s">
        <v>487</v>
      </c>
      <c r="C6" s="9" t="s">
        <v>488</v>
      </c>
      <c r="D6" s="9" t="s">
        <v>489</v>
      </c>
      <c r="E6" s="9" t="s">
        <v>81</v>
      </c>
      <c r="F6" s="9" t="s">
        <v>63</v>
      </c>
      <c r="G6" s="38" t="n">
        <f aca="false">IF(D6="High",3,IF(D6="Medium",2,1))*IF(E6="High",3,IF(E6="Medium",2,1))</f>
        <v>2</v>
      </c>
      <c r="H6" s="9" t="s">
        <v>490</v>
      </c>
      <c r="I6" s="9" t="s">
        <v>413</v>
      </c>
    </row>
    <row r="7" customFormat="false" ht="37.5" hidden="false" customHeight="true" outlineLevel="0" collapsed="false">
      <c r="B7" s="7" t="s">
        <v>491</v>
      </c>
      <c r="C7" s="7" t="s">
        <v>488</v>
      </c>
      <c r="D7" s="7" t="s">
        <v>492</v>
      </c>
      <c r="E7" s="7" t="s">
        <v>81</v>
      </c>
      <c r="F7" s="7" t="s">
        <v>81</v>
      </c>
      <c r="G7" s="39" t="n">
        <f aca="false">IF(D7="High",3,IF(D7="Medium",2,1))*IF(E7="High",3,IF(E7="Medium",2,1))</f>
        <v>2</v>
      </c>
      <c r="H7" s="7" t="s">
        <v>493</v>
      </c>
      <c r="I7" s="7" t="s">
        <v>154</v>
      </c>
    </row>
    <row r="8" customFormat="false" ht="37.5" hidden="false" customHeight="true" outlineLevel="0" collapsed="false">
      <c r="B8" s="9" t="s">
        <v>494</v>
      </c>
      <c r="C8" s="9" t="s">
        <v>488</v>
      </c>
      <c r="D8" s="9" t="s">
        <v>495</v>
      </c>
      <c r="E8" s="9" t="s">
        <v>288</v>
      </c>
      <c r="F8" s="9" t="s">
        <v>63</v>
      </c>
      <c r="G8" s="38" t="n">
        <f aca="false">IF(D8="High",3,IF(D8="Medium",2,1))*IF(E8="High",3,IF(E8="Medium",2,1))</f>
        <v>1</v>
      </c>
      <c r="H8" s="9" t="s">
        <v>496</v>
      </c>
      <c r="I8" s="9" t="s">
        <v>177</v>
      </c>
    </row>
    <row r="9" customFormat="false" ht="37.5" hidden="false" customHeight="true" outlineLevel="0" collapsed="false">
      <c r="B9" s="7" t="s">
        <v>497</v>
      </c>
      <c r="C9" s="7" t="s">
        <v>488</v>
      </c>
      <c r="D9" s="7" t="s">
        <v>498</v>
      </c>
      <c r="E9" s="7" t="s">
        <v>288</v>
      </c>
      <c r="F9" s="7" t="s">
        <v>63</v>
      </c>
      <c r="G9" s="39" t="n">
        <f aca="false">IF(D9="High",3,IF(D9="Medium",2,1))*IF(E9="High",3,IF(E9="Medium",2,1))</f>
        <v>1</v>
      </c>
      <c r="H9" s="7" t="s">
        <v>499</v>
      </c>
      <c r="I9" s="7" t="s">
        <v>163</v>
      </c>
    </row>
    <row r="10" customFormat="false" ht="37.5" hidden="false" customHeight="true" outlineLevel="0" collapsed="false">
      <c r="B10" s="9" t="s">
        <v>500</v>
      </c>
      <c r="C10" s="9" t="s">
        <v>501</v>
      </c>
      <c r="D10" s="9" t="s">
        <v>502</v>
      </c>
      <c r="E10" s="9" t="s">
        <v>81</v>
      </c>
      <c r="F10" s="9" t="s">
        <v>63</v>
      </c>
      <c r="G10" s="38" t="n">
        <f aca="false">IF(D10="High",3,IF(D10="Medium",2,1))*IF(E10="High",3,IF(E10="Medium",2,1))</f>
        <v>2</v>
      </c>
      <c r="H10" s="9" t="s">
        <v>503</v>
      </c>
      <c r="I10" s="9" t="s">
        <v>423</v>
      </c>
    </row>
    <row r="11" customFormat="false" ht="37.5" hidden="false" customHeight="true" outlineLevel="0" collapsed="false">
      <c r="B11" s="7" t="s">
        <v>504</v>
      </c>
      <c r="C11" s="7" t="s">
        <v>501</v>
      </c>
      <c r="D11" s="7" t="s">
        <v>505</v>
      </c>
      <c r="E11" s="7" t="s">
        <v>288</v>
      </c>
      <c r="F11" s="7" t="s">
        <v>63</v>
      </c>
      <c r="G11" s="39" t="n">
        <f aca="false">IF(D11="High",3,IF(D11="Medium",2,1))*IF(E11="High",3,IF(E11="Medium",2,1))</f>
        <v>1</v>
      </c>
      <c r="H11" s="7" t="s">
        <v>506</v>
      </c>
      <c r="I11" s="7" t="s">
        <v>154</v>
      </c>
    </row>
    <row r="12" customFormat="false" ht="37.5" hidden="false" customHeight="true" outlineLevel="0" collapsed="false">
      <c r="B12" s="9" t="s">
        <v>507</v>
      </c>
      <c r="C12" s="9" t="s">
        <v>501</v>
      </c>
      <c r="D12" s="9" t="s">
        <v>508</v>
      </c>
      <c r="E12" s="9" t="s">
        <v>288</v>
      </c>
      <c r="F12" s="9" t="s">
        <v>63</v>
      </c>
      <c r="G12" s="38" t="n">
        <f aca="false">IF(D12="High",3,IF(D12="Medium",2,1))*IF(E12="High",3,IF(E12="Medium",2,1))</f>
        <v>1</v>
      </c>
      <c r="H12" s="9" t="s">
        <v>509</v>
      </c>
      <c r="I12" s="9" t="s">
        <v>423</v>
      </c>
    </row>
    <row r="13" customFormat="false" ht="37.5" hidden="false" customHeight="true" outlineLevel="0" collapsed="false">
      <c r="B13" s="7" t="s">
        <v>510</v>
      </c>
      <c r="C13" s="7" t="s">
        <v>511</v>
      </c>
      <c r="D13" s="7" t="s">
        <v>512</v>
      </c>
      <c r="E13" s="7" t="s">
        <v>81</v>
      </c>
      <c r="F13" s="7" t="s">
        <v>81</v>
      </c>
      <c r="G13" s="39" t="n">
        <f aca="false">IF(D13="High",3,IF(D13="Medium",2,1))*IF(E13="High",3,IF(E13="Medium",2,1))</f>
        <v>2</v>
      </c>
      <c r="H13" s="7" t="s">
        <v>513</v>
      </c>
      <c r="I13" s="7" t="s">
        <v>423</v>
      </c>
    </row>
    <row r="14" customFormat="false" ht="37.5" hidden="false" customHeight="true" outlineLevel="0" collapsed="false">
      <c r="B14" s="9" t="s">
        <v>514</v>
      </c>
      <c r="C14" s="9" t="s">
        <v>511</v>
      </c>
      <c r="D14" s="9" t="s">
        <v>515</v>
      </c>
      <c r="E14" s="9" t="s">
        <v>81</v>
      </c>
      <c r="F14" s="9" t="s">
        <v>81</v>
      </c>
      <c r="G14" s="38" t="n">
        <f aca="false">IF(D14="High",3,IF(D14="Medium",2,1))*IF(E14="High",3,IF(E14="Medium",2,1))</f>
        <v>2</v>
      </c>
      <c r="H14" s="9" t="s">
        <v>516</v>
      </c>
      <c r="I14" s="9" t="s">
        <v>423</v>
      </c>
    </row>
    <row r="15" customFormat="false" ht="37.5" hidden="false" customHeight="true" outlineLevel="0" collapsed="false">
      <c r="B15" s="7" t="s">
        <v>517</v>
      </c>
      <c r="C15" s="7" t="s">
        <v>488</v>
      </c>
      <c r="D15" s="7" t="s">
        <v>518</v>
      </c>
      <c r="E15" s="7" t="s">
        <v>288</v>
      </c>
      <c r="F15" s="7" t="s">
        <v>81</v>
      </c>
      <c r="G15" s="39" t="n">
        <f aca="false">IF(D15="High",3,IF(D15="Medium",2,1))*IF(E15="High",3,IF(E15="Medium",2,1))</f>
        <v>1</v>
      </c>
      <c r="H15" s="7" t="s">
        <v>519</v>
      </c>
      <c r="I15" s="7" t="s">
        <v>167</v>
      </c>
    </row>
    <row r="16" customFormat="false" ht="37.5" hidden="false" customHeight="true" outlineLevel="0" collapsed="false">
      <c r="B16" s="9" t="s">
        <v>520</v>
      </c>
      <c r="C16" s="9" t="s">
        <v>488</v>
      </c>
      <c r="D16" s="9" t="s">
        <v>521</v>
      </c>
      <c r="E16" s="9" t="s">
        <v>288</v>
      </c>
      <c r="F16" s="9" t="s">
        <v>81</v>
      </c>
      <c r="G16" s="38" t="n">
        <f aca="false">IF(D16="High",3,IF(D16="Medium",2,1))*IF(E16="High",3,IF(E16="Medium",2,1))</f>
        <v>1</v>
      </c>
      <c r="H16" s="9" t="s">
        <v>522</v>
      </c>
      <c r="I16" s="9" t="s">
        <v>163</v>
      </c>
    </row>
    <row r="17" customFormat="false" ht="37.5" hidden="false" customHeight="true" outlineLevel="0" collapsed="false">
      <c r="B17" s="7" t="s">
        <v>523</v>
      </c>
      <c r="C17" s="7" t="s">
        <v>488</v>
      </c>
      <c r="D17" s="7" t="s">
        <v>524</v>
      </c>
      <c r="E17" s="7" t="s">
        <v>81</v>
      </c>
      <c r="F17" s="7" t="s">
        <v>81</v>
      </c>
      <c r="G17" s="39" t="n">
        <f aca="false">IF(D17="High",3,IF(D17="Medium",2,1))*IF(E17="High",3,IF(E17="Medium",2,1))</f>
        <v>2</v>
      </c>
      <c r="H17" s="7" t="s">
        <v>525</v>
      </c>
      <c r="I17" s="7" t="s">
        <v>177</v>
      </c>
    </row>
    <row r="19" customFormat="false" ht="15" hidden="false" customHeight="false" outlineLevel="0" collapsed="false">
      <c r="B19" s="3" t="s">
        <v>526</v>
      </c>
    </row>
    <row r="20" customFormat="false" ht="15" hidden="false" customHeight="false" outlineLevel="0" collapsed="false">
      <c r="B20" s="26" t="s">
        <v>527</v>
      </c>
      <c r="C20" s="27" t="n">
        <f aca="false">COUNTIF(G6:G17,"&gt;=6")</f>
        <v>0</v>
      </c>
      <c r="D20" s="26" t="s">
        <v>528</v>
      </c>
      <c r="E20" s="27" t="n">
        <f aca="false">COUNTIF(G6:G17,"&lt;=5")-COUNTIF(G6:G17,"&lt;=3")</f>
        <v>0</v>
      </c>
      <c r="F20" s="26" t="s">
        <v>529</v>
      </c>
      <c r="G20" s="27" t="n">
        <f aca="false">COUNTIF(G6:G17,"&lt;=3")</f>
        <v>12</v>
      </c>
    </row>
  </sheetData>
  <mergeCells count="2">
    <mergeCell ref="B2:I2"/>
    <mergeCell ref="B3:I3"/>
  </mergeCells>
  <conditionalFormatting sqref="G6:G17">
    <cfRule type="cellIs" priority="2" operator="greaterThanOrEqual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4</formula>
      <formula>5</formula>
    </cfRule>
    <cfRule type="cellIs" priority="4" operator="lessThanOrEqual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35"/>
    <col collapsed="false" customWidth="true" hidden="false" outlineLevel="0" max="4" min="4" style="0" width="22"/>
    <col collapsed="false" customWidth="true" hidden="false" outlineLevel="0" max="5" min="5" style="0" width="55"/>
    <col collapsed="false" customWidth="true" hidden="false" outlineLevel="0" max="6" min="6" style="0" width="18"/>
  </cols>
  <sheetData>
    <row r="2" customFormat="false" ht="30" hidden="false" customHeight="true" outlineLevel="0" collapsed="false">
      <c r="B2" s="20" t="s">
        <v>48</v>
      </c>
      <c r="C2" s="20"/>
      <c r="D2" s="20"/>
      <c r="E2" s="20"/>
      <c r="F2" s="20"/>
    </row>
    <row r="3" customFormat="false" ht="21.75" hidden="false" customHeight="true" outlineLevel="0" collapsed="false">
      <c r="B3" s="21" t="s">
        <v>530</v>
      </c>
      <c r="C3" s="21"/>
      <c r="D3" s="21"/>
      <c r="E3" s="21"/>
      <c r="F3" s="21"/>
    </row>
    <row r="5" customFormat="false" ht="21.75" hidden="false" customHeight="true" outlineLevel="0" collapsed="false">
      <c r="B5" s="19" t="s">
        <v>531</v>
      </c>
      <c r="C5" s="19" t="s">
        <v>532</v>
      </c>
      <c r="D5" s="19" t="s">
        <v>533</v>
      </c>
      <c r="E5" s="19" t="s">
        <v>534</v>
      </c>
      <c r="F5" s="19" t="s">
        <v>535</v>
      </c>
    </row>
    <row r="6" customFormat="false" ht="31.5" hidden="false" customHeight="true" outlineLevel="0" collapsed="false">
      <c r="B6" s="9" t="s">
        <v>536</v>
      </c>
      <c r="C6" s="9" t="s">
        <v>537</v>
      </c>
      <c r="D6" s="9" t="s">
        <v>538</v>
      </c>
      <c r="E6" s="9" t="s">
        <v>539</v>
      </c>
      <c r="F6" s="9" t="s">
        <v>540</v>
      </c>
    </row>
    <row r="7" customFormat="false" ht="31.5" hidden="false" customHeight="true" outlineLevel="0" collapsed="false">
      <c r="B7" s="7" t="s">
        <v>541</v>
      </c>
      <c r="C7" s="7" t="s">
        <v>542</v>
      </c>
      <c r="D7" s="7" t="s">
        <v>543</v>
      </c>
      <c r="E7" s="7" t="s">
        <v>544</v>
      </c>
      <c r="F7" s="7" t="s">
        <v>545</v>
      </c>
    </row>
    <row r="8" customFormat="false" ht="31.5" hidden="false" customHeight="true" outlineLevel="0" collapsed="false">
      <c r="B8" s="9" t="s">
        <v>546</v>
      </c>
      <c r="C8" s="9" t="s">
        <v>547</v>
      </c>
      <c r="D8" s="9" t="s">
        <v>548</v>
      </c>
      <c r="E8" s="9" t="s">
        <v>549</v>
      </c>
      <c r="F8" s="9" t="s">
        <v>550</v>
      </c>
    </row>
    <row r="9" customFormat="false" ht="31.5" hidden="false" customHeight="true" outlineLevel="0" collapsed="false">
      <c r="B9" s="7" t="s">
        <v>551</v>
      </c>
      <c r="C9" s="7" t="s">
        <v>552</v>
      </c>
      <c r="D9" s="7" t="s">
        <v>553</v>
      </c>
      <c r="E9" s="7" t="s">
        <v>554</v>
      </c>
      <c r="F9" s="7" t="s">
        <v>555</v>
      </c>
    </row>
    <row r="10" customFormat="false" ht="31.5" hidden="false" customHeight="true" outlineLevel="0" collapsed="false">
      <c r="B10" s="9" t="s">
        <v>556</v>
      </c>
      <c r="C10" s="9" t="s">
        <v>557</v>
      </c>
      <c r="D10" s="9" t="s">
        <v>558</v>
      </c>
      <c r="E10" s="9" t="s">
        <v>559</v>
      </c>
      <c r="F10" s="9" t="s">
        <v>560</v>
      </c>
    </row>
    <row r="11" customFormat="false" ht="31.5" hidden="false" customHeight="true" outlineLevel="0" collapsed="false">
      <c r="B11" s="7" t="s">
        <v>561</v>
      </c>
      <c r="C11" s="7" t="s">
        <v>562</v>
      </c>
      <c r="D11" s="7" t="s">
        <v>367</v>
      </c>
      <c r="E11" s="7" t="s">
        <v>563</v>
      </c>
      <c r="F11" s="7" t="s">
        <v>564</v>
      </c>
    </row>
    <row r="12" customFormat="false" ht="31.5" hidden="false" customHeight="true" outlineLevel="0" collapsed="false">
      <c r="B12" s="9" t="s">
        <v>565</v>
      </c>
      <c r="C12" s="9" t="s">
        <v>566</v>
      </c>
      <c r="D12" s="9" t="s">
        <v>553</v>
      </c>
      <c r="E12" s="9" t="s">
        <v>567</v>
      </c>
      <c r="F12" s="9" t="s">
        <v>568</v>
      </c>
    </row>
    <row r="13" customFormat="false" ht="31.5" hidden="false" customHeight="true" outlineLevel="0" collapsed="false">
      <c r="B13" s="7" t="s">
        <v>569</v>
      </c>
      <c r="C13" s="7" t="s">
        <v>570</v>
      </c>
      <c r="D13" s="7" t="s">
        <v>538</v>
      </c>
      <c r="E13" s="7" t="s">
        <v>571</v>
      </c>
      <c r="F13" s="7" t="s">
        <v>572</v>
      </c>
    </row>
    <row r="14" customFormat="false" ht="31.5" hidden="false" customHeight="true" outlineLevel="0" collapsed="false">
      <c r="B14" s="9" t="s">
        <v>573</v>
      </c>
      <c r="C14" s="9" t="s">
        <v>574</v>
      </c>
      <c r="D14" s="9" t="s">
        <v>548</v>
      </c>
      <c r="E14" s="9" t="s">
        <v>575</v>
      </c>
      <c r="F14" s="9" t="s">
        <v>576</v>
      </c>
    </row>
    <row r="15" customFormat="false" ht="31.5" hidden="false" customHeight="true" outlineLevel="0" collapsed="false">
      <c r="B15" s="7" t="s">
        <v>577</v>
      </c>
      <c r="C15" s="7" t="s">
        <v>578</v>
      </c>
      <c r="D15" s="7" t="s">
        <v>579</v>
      </c>
      <c r="E15" s="7" t="s">
        <v>580</v>
      </c>
      <c r="F15" s="7" t="s">
        <v>581</v>
      </c>
    </row>
    <row r="16" customFormat="false" ht="31.5" hidden="false" customHeight="true" outlineLevel="0" collapsed="false">
      <c r="B16" s="9" t="s">
        <v>582</v>
      </c>
      <c r="C16" s="9" t="s">
        <v>583</v>
      </c>
      <c r="D16" s="9" t="s">
        <v>584</v>
      </c>
      <c r="E16" s="9" t="s">
        <v>585</v>
      </c>
      <c r="F16" s="9" t="s">
        <v>586</v>
      </c>
    </row>
    <row r="17" customFormat="false" ht="31.5" hidden="false" customHeight="true" outlineLevel="0" collapsed="false">
      <c r="B17" s="7" t="s">
        <v>587</v>
      </c>
      <c r="C17" s="7" t="s">
        <v>588</v>
      </c>
      <c r="D17" s="7" t="s">
        <v>579</v>
      </c>
      <c r="E17" s="7" t="s">
        <v>589</v>
      </c>
      <c r="F17" s="7" t="s">
        <v>590</v>
      </c>
    </row>
    <row r="18" customFormat="false" ht="31.5" hidden="false" customHeight="true" outlineLevel="0" collapsed="false">
      <c r="B18" s="9" t="s">
        <v>591</v>
      </c>
      <c r="C18" s="9" t="s">
        <v>592</v>
      </c>
      <c r="D18" s="9" t="s">
        <v>593</v>
      </c>
      <c r="E18" s="9" t="s">
        <v>594</v>
      </c>
      <c r="F18" s="9" t="s">
        <v>595</v>
      </c>
    </row>
    <row r="19" customFormat="false" ht="31.5" hidden="false" customHeight="true" outlineLevel="0" collapsed="false">
      <c r="B19" s="7" t="s">
        <v>596</v>
      </c>
      <c r="C19" s="7" t="s">
        <v>597</v>
      </c>
      <c r="D19" s="7" t="s">
        <v>598</v>
      </c>
      <c r="E19" s="7" t="s">
        <v>599</v>
      </c>
      <c r="F19" s="7" t="s">
        <v>600</v>
      </c>
    </row>
    <row r="20" customFormat="false" ht="31.5" hidden="false" customHeight="true" outlineLevel="0" collapsed="false">
      <c r="B20" s="9" t="s">
        <v>601</v>
      </c>
      <c r="C20" s="9" t="s">
        <v>602</v>
      </c>
      <c r="D20" s="9" t="s">
        <v>603</v>
      </c>
      <c r="E20" s="9" t="s">
        <v>604</v>
      </c>
      <c r="F20" s="9" t="s">
        <v>605</v>
      </c>
    </row>
    <row r="21" customFormat="false" ht="31.5" hidden="false" customHeight="true" outlineLevel="0" collapsed="false">
      <c r="B21" s="7" t="s">
        <v>606</v>
      </c>
      <c r="C21" s="7" t="s">
        <v>607</v>
      </c>
      <c r="D21" s="7" t="s">
        <v>579</v>
      </c>
      <c r="E21" s="7" t="s">
        <v>608</v>
      </c>
      <c r="F21" s="7" t="s">
        <v>609</v>
      </c>
    </row>
    <row r="22" customFormat="false" ht="31.5" hidden="false" customHeight="true" outlineLevel="0" collapsed="false">
      <c r="B22" s="9" t="s">
        <v>610</v>
      </c>
      <c r="C22" s="9" t="s">
        <v>611</v>
      </c>
      <c r="D22" s="9" t="s">
        <v>367</v>
      </c>
      <c r="E22" s="9" t="s">
        <v>612</v>
      </c>
      <c r="F22" s="9" t="s">
        <v>613</v>
      </c>
    </row>
    <row r="23" customFormat="false" ht="31.5" hidden="false" customHeight="true" outlineLevel="0" collapsed="false">
      <c r="B23" s="7" t="s">
        <v>614</v>
      </c>
      <c r="C23" s="7" t="s">
        <v>615</v>
      </c>
      <c r="D23" s="7" t="s">
        <v>553</v>
      </c>
      <c r="E23" s="7" t="s">
        <v>616</v>
      </c>
      <c r="F23" s="7" t="s">
        <v>617</v>
      </c>
    </row>
    <row r="24" customFormat="false" ht="31.5" hidden="false" customHeight="true" outlineLevel="0" collapsed="false">
      <c r="B24" s="9" t="s">
        <v>618</v>
      </c>
      <c r="C24" s="9" t="s">
        <v>619</v>
      </c>
      <c r="D24" s="9" t="s">
        <v>579</v>
      </c>
      <c r="E24" s="9" t="s">
        <v>620</v>
      </c>
      <c r="F24" s="9" t="s">
        <v>621</v>
      </c>
    </row>
    <row r="25" customFormat="false" ht="31.5" hidden="false" customHeight="true" outlineLevel="0" collapsed="false">
      <c r="B25" s="7" t="s">
        <v>622</v>
      </c>
      <c r="C25" s="7" t="s">
        <v>623</v>
      </c>
      <c r="D25" s="7" t="s">
        <v>553</v>
      </c>
      <c r="E25" s="7" t="s">
        <v>624</v>
      </c>
      <c r="F25" s="7" t="s">
        <v>625</v>
      </c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2026-05-01T00:05:48Z</dcterms:created>
  <dc:creator>openpyxl</dc:creator>
  <dc:description/>
  <dc:language>en-US</dc:language>
  <cp:lastModifiedBy/>
  <dcterms:modified xsi:type="dcterms:W3CDTF">2026-05-01T00:10:32Z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